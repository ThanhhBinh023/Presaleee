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ject Roles" sheetId="2" state="visible" r:id="rId2"/>
    <sheet name="Project Management Approach" sheetId="3" state="visible" r:id="rId3"/>
    <sheet name="RAID" sheetId="4" state="visible" r:id="rId4"/>
    <sheet name="Acceptance Docs" sheetId="5" state="visible" r:id="rId5"/>
    <sheet name="FR" sheetId="6" state="visible" r:id="rId6"/>
    <sheet name="Tech-stack" sheetId="7" state="visible" r:id="rId7"/>
    <sheet name="Non-FR" sheetId="8" state="visible" r:id="rId8"/>
    <sheet name="RateCard" sheetId="9" state="visible" r:id="rId9"/>
    <sheet name="Macro Plan &amp; Quot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1" fillId="0" borderId="0" pivotButton="0" quotePrefix="0" xfId="0"/>
    <xf numFmtId="0" fontId="6" fillId="4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164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 indent="1"/>
    </xf>
    <xf numFmtId="0" fontId="1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164" fontId="1" fillId="6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0" customWidth="1" min="3" max="3"/>
    <col width="35" customWidth="1" min="4" max="4"/>
    <col width="55" customWidth="1" min="5" max="5"/>
    <col width="15" customWidth="1" min="6" max="6"/>
  </cols>
  <sheetData>
    <row r="1" ht="32" customHeight="1">
      <c r="A1" s="1" t="inlineStr">
        <is>
          <t>PROPOSAL: ENTERPRISE OMNICHANNEL COMMERCE &amp; FULFILLMENT PLATFORM</t>
        </is>
      </c>
    </row>
    <row r="2" ht="20" customHeight="1">
      <c r="A2" s="2" t="inlineStr">
        <is>
          <t>Client: NovaRetail Holdings Pty Ltd  |  Proposal ID: PRP-2026-NOV-01  |  Date: 08 October 2026  |  Validity: 30 Days</t>
        </is>
      </c>
    </row>
    <row r="3"/>
    <row r="4" ht="24" customHeight="1">
      <c r="A4" s="3" t="inlineStr">
        <is>
          <t>PROJECT METADATA</t>
        </is>
      </c>
    </row>
    <row r="5" ht="22" customHeight="1">
      <c r="A5" s="4" t="inlineStr">
        <is>
          <t>Client Name</t>
        </is>
      </c>
      <c r="B5" s="5" t="inlineStr">
        <is>
          <t>NovaRetail Holdings Pty Ltd</t>
        </is>
      </c>
      <c r="C5" s="6" t="n"/>
      <c r="D5" s="4" t="inlineStr">
        <is>
          <t>Presale Solution Lead</t>
        </is>
      </c>
      <c r="E5" s="5" t="inlineStr">
        <is>
          <t>Alexandre Martin (Principal Solutions Architect)</t>
        </is>
      </c>
      <c r="F5" s="6" t="n"/>
    </row>
    <row r="6" ht="22" customHeight="1">
      <c r="A6" s="4" t="inlineStr">
        <is>
          <t>Project Code</t>
        </is>
      </c>
      <c r="B6" s="5" t="inlineStr">
        <is>
          <t>PBL6-NOVA-OMS-2026</t>
        </is>
      </c>
      <c r="C6" s="6" t="n"/>
      <c r="D6" s="4" t="inlineStr">
        <is>
          <t>Delivery Manager</t>
        </is>
      </c>
      <c r="E6" s="5" t="inlineStr">
        <is>
          <t>Sarah Jenkins (Senior Agile Delivery Lead)</t>
        </is>
      </c>
      <c r="F6" s="6" t="n"/>
    </row>
    <row r="7" ht="22" customHeight="1">
      <c r="A7" s="4" t="inlineStr">
        <is>
          <t>Proposal Version</t>
        </is>
      </c>
      <c r="B7" s="5" t="inlineStr">
        <is>
          <t>v1.0 (Commercial &amp; Technical Bid)</t>
        </is>
      </c>
      <c r="C7" s="6" t="n"/>
      <c r="D7" s="4" t="inlineStr">
        <is>
          <t>Target Kick-off</t>
        </is>
      </c>
      <c r="E7" s="5" t="inlineStr">
        <is>
          <t>02 November 2026</t>
        </is>
      </c>
      <c r="F7" s="6" t="n"/>
    </row>
    <row r="8" ht="22" customHeight="1">
      <c r="A8" s="4" t="inlineStr">
        <is>
          <t>Primary Objective</t>
        </is>
      </c>
      <c r="B8" s="5" t="inlineStr">
        <is>
          <t>Deploy Cloud OMS, Real-Time Inventory, and WMS Lite across 120 Stores &amp; 3 Central Warehouses</t>
        </is>
      </c>
      <c r="C8" s="6" t="n"/>
      <c r="D8" s="4" t="inlineStr">
        <is>
          <t>Total Delivery Duration</t>
        </is>
      </c>
      <c r="E8" s="5" t="inlineStr">
        <is>
          <t>24 Calendar Weeks (12 Sprints)</t>
        </is>
      </c>
      <c r="F8" s="6" t="n"/>
    </row>
    <row r="9"/>
    <row r="10" ht="24" customHeight="1">
      <c r="A10" s="3" t="inlineStr">
        <is>
          <t>EXECUTIVE SUMMARY &amp; 'WHY THIS SOLUTION'</t>
        </is>
      </c>
    </row>
    <row r="11" ht="70" customHeight="1">
      <c r="A11" s="7" t="inlineStr">
        <is>
          <t>Executive Problem Context</t>
        </is>
      </c>
      <c r="B11" s="8" t="inlineStr">
        <is>
          <t>NovaRetail faces severe revenue leakage due to 4-12 hour inventory sync lags between Shopify Plus, physical store POS systems, and regional warehouses. Inefficient order routing inflates fulfillment costs to $14/order and causes 2.8% fulfillment mis-picks with paper manifests.</t>
        </is>
      </c>
      <c r="C11" s="6" t="n"/>
      <c r="D11" s="6" t="n"/>
      <c r="E11" s="6" t="n"/>
      <c r="F11" s="6" t="n"/>
    </row>
    <row r="12" ht="70" customHeight="1">
      <c r="A12" s="7" t="inlineStr">
        <is>
          <t>Proposed Strategic Solution</t>
        </is>
      </c>
      <c r="B12" s="8" t="inlineStr">
        <is>
          <t>We propose delivering a modern, cloud-native Omnichannel Fulfillment Suite ('NovaSync OMS &amp; WMS'). The platform provides a sub-second distributed inventory ledger, intelligent rule-based order routing, mobile handheld PDA warehouse picking, express Click &amp; Collect store workflows, and unified courier label dispatch.</t>
        </is>
      </c>
      <c r="C12" s="6" t="n"/>
      <c r="D12" s="6" t="n"/>
      <c r="E12" s="6" t="n"/>
      <c r="F12" s="6" t="n"/>
    </row>
    <row r="13" ht="70" customHeight="1">
      <c r="A13" s="7" t="inlineStr">
        <is>
          <t>Measurable Business Impact</t>
        </is>
      </c>
      <c r="B13" s="8" t="inlineStr">
        <is>
          <t>• 99.8% reduction in cross-channel overselling &amp; stockout cancellations.
• 40% reduction in warehouse picking labor hours via digital batch routing.
• $4.80 average logistics cost reduction per order via ship-from-nearest-store routing.
• Click &amp; Collect turnaround reduced from 25 minutes down to &lt; 45 seconds at store checkout.</t>
        </is>
      </c>
      <c r="C13" s="6" t="n"/>
      <c r="D13" s="6" t="n"/>
      <c r="E13" s="6" t="n"/>
      <c r="F13" s="6" t="n"/>
    </row>
    <row r="14"/>
    <row r="15" ht="24" customHeight="1">
      <c r="A15" s="3" t="inlineStr">
        <is>
          <t>COMMERCIAL &amp; INVESTMENT SNAPSHOT (USD)</t>
        </is>
      </c>
    </row>
    <row r="16" ht="22" customHeight="1">
      <c r="A16" s="4" t="inlineStr">
        <is>
          <t>Core Services Subtotal</t>
        </is>
      </c>
      <c r="B16" s="5" t="inlineStr">
        <is>
          <t>$198,500 ex GST</t>
        </is>
      </c>
      <c r="C16" s="6" t="n"/>
      <c r="D16" s="4" t="inlineStr">
        <is>
          <t>Warranty &amp; Support Period</t>
        </is>
      </c>
      <c r="E16" s="5" t="inlineStr">
        <is>
          <t>90 Calendar Days Hypercare Included</t>
        </is>
      </c>
      <c r="F16" s="6" t="n"/>
    </row>
    <row r="17" ht="22" customHeight="1">
      <c r="A17" s="4" t="inlineStr">
        <is>
          <t>Project Contingency Buffer (10%)</t>
        </is>
      </c>
      <c r="B17" s="5" t="inlineStr">
        <is>
          <t>$19,850</t>
        </is>
      </c>
      <c r="C17" s="6" t="n"/>
      <c r="D17" s="4" t="inlineStr">
        <is>
          <t>Payment Term Milestone Structure</t>
        </is>
      </c>
      <c r="E17" s="5" t="inlineStr">
        <is>
          <t>5 Deliverable-Based Milestone Gates (20/25/30/15/10)</t>
        </is>
      </c>
      <c r="F17" s="6" t="n"/>
    </row>
    <row r="18" ht="22" customHeight="1">
      <c r="A18" s="4" t="inlineStr">
        <is>
          <t>Total Delivery Investment</t>
        </is>
      </c>
      <c r="B18" s="5" t="inlineStr">
        <is>
          <t>$218,350 ex GST</t>
        </is>
      </c>
      <c r="C18" s="6" t="n"/>
      <c r="D18" s="4" t="inlineStr">
        <is>
          <t>Ongoing SLA Support (Tier 2/3)</t>
        </is>
      </c>
      <c r="E18" s="5" t="inlineStr">
        <is>
          <t>Optional AUD $4,800/month (99.9% Uptime SLA)</t>
        </is>
      </c>
      <c r="F18" s="6" t="n"/>
    </row>
  </sheetData>
  <mergeCells count="22">
    <mergeCell ref="B16:C16"/>
    <mergeCell ref="B7:C7"/>
    <mergeCell ref="E5:F5"/>
    <mergeCell ref="B18:C18"/>
    <mergeCell ref="E17:F17"/>
    <mergeCell ref="E8:F8"/>
    <mergeCell ref="A2:F2"/>
    <mergeCell ref="B12:F12"/>
    <mergeCell ref="B11:F11"/>
    <mergeCell ref="A4:F4"/>
    <mergeCell ref="B17:C17"/>
    <mergeCell ref="B8:C8"/>
    <mergeCell ref="B13:F13"/>
    <mergeCell ref="E6:F6"/>
    <mergeCell ref="A10:F10"/>
    <mergeCell ref="A15:F15"/>
    <mergeCell ref="B6:C6"/>
    <mergeCell ref="E16:F16"/>
    <mergeCell ref="E7:F7"/>
    <mergeCell ref="B5:C5"/>
    <mergeCell ref="A1:F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15" customWidth="1" min="2" max="2"/>
    <col width="24" customWidth="1" min="3" max="3"/>
    <col width="75" customWidth="1" min="4" max="4"/>
    <col width="58" customWidth="1" min="5" max="5"/>
    <col width="14" customWidth="1" min="6" max="6"/>
    <col width="10" customWidth="1" min="7" max="7"/>
  </cols>
  <sheetData>
    <row r="1" ht="28" customHeight="1">
      <c r="A1" s="9" t="inlineStr">
        <is>
          <t>PROJECT ORGANIZATION &amp; TEAM ROLES</t>
        </is>
      </c>
    </row>
    <row r="2" ht="18" customHeight="1">
      <c r="A2" s="2" t="inlineStr">
        <is>
          <t>Clear division of responsibilities, governance structure, and RACI Matrix across project lifecycle.</t>
        </is>
      </c>
    </row>
    <row r="3"/>
    <row r="4" ht="24" customHeight="1">
      <c r="A4" s="10" t="inlineStr">
        <is>
          <t>Role Title</t>
        </is>
      </c>
      <c r="B4" s="10" t="inlineStr">
        <is>
          <t>Organization</t>
        </is>
      </c>
      <c r="C4" s="10" t="inlineStr">
        <is>
          <t>Allocation</t>
        </is>
      </c>
      <c r="D4" s="10" t="inlineStr">
        <is>
          <t>Primary Responsibilities</t>
        </is>
      </c>
      <c r="E4" s="10" t="inlineStr">
        <is>
          <t>Key Deliverables Owned</t>
        </is>
      </c>
      <c r="F4" s="10" t="inlineStr">
        <is>
          <t>Seniority</t>
        </is>
      </c>
    </row>
    <row r="5" ht="28" customHeight="1">
      <c r="A5" s="11" t="inlineStr">
        <is>
          <t>Solution Architect (SA)</t>
        </is>
      </c>
      <c r="B5" s="12" t="inlineStr">
        <is>
          <t>Vendor</t>
        </is>
      </c>
      <c r="C5" s="12" t="inlineStr">
        <is>
          <t>Part-Time (35%)</t>
        </is>
      </c>
      <c r="D5" s="11" t="inlineStr">
        <is>
          <t>Technical architecture governance, system integration design, security compliance, ADR approval</t>
        </is>
      </c>
      <c r="E5" s="11" t="inlineStr">
        <is>
          <t>Architecture Blueprint, Integration Specs, Cloud Sizing</t>
        </is>
      </c>
      <c r="F5" s="12" t="inlineStr">
        <is>
          <t>Principal</t>
        </is>
      </c>
    </row>
    <row r="6" ht="28" customHeight="1">
      <c r="A6" s="13" t="inlineStr">
        <is>
          <t>Project Manager (PM)</t>
        </is>
      </c>
      <c r="B6" s="14" t="inlineStr">
        <is>
          <t>Vendor</t>
        </is>
      </c>
      <c r="C6" s="14" t="inlineStr">
        <is>
          <t>Full-Time (100%)</t>
        </is>
      </c>
      <c r="D6" s="13" t="inlineStr">
        <is>
          <t>Agile sprint orchestration, budget &amp; risk tracking, client communication, milestone sign-off</t>
        </is>
      </c>
      <c r="E6" s="13" t="inlineStr">
        <is>
          <t>Sprint Burndown, Weekly Status Reports, Risk Log</t>
        </is>
      </c>
      <c r="F6" s="14" t="inlineStr">
        <is>
          <t>Senior</t>
        </is>
      </c>
    </row>
    <row r="7" ht="28" customHeight="1">
      <c r="A7" s="11" t="inlineStr">
        <is>
          <t>Technical Lead (TL)</t>
        </is>
      </c>
      <c r="B7" s="12" t="inlineStr">
        <is>
          <t>Vendor</t>
        </is>
      </c>
      <c r="C7" s="12" t="inlineStr">
        <is>
          <t>Full-Time (100%)</t>
        </is>
      </c>
      <c r="D7" s="11" t="inlineStr">
        <is>
          <t>Codebase stewardship, code review quality gate, tech mentoring, sprint backlog technical grooming</t>
        </is>
      </c>
      <c r="E7" s="11" t="inlineStr">
        <is>
          <t>Core Framework Setup, CI/CD Pipeline, DB Schema</t>
        </is>
      </c>
      <c r="F7" s="12" t="inlineStr">
        <is>
          <t>Lead</t>
        </is>
      </c>
    </row>
    <row r="8" ht="28" customHeight="1">
      <c r="A8" s="13" t="inlineStr">
        <is>
          <t>Senior Backend Engineer (2)</t>
        </is>
      </c>
      <c r="B8" s="14" t="inlineStr">
        <is>
          <t>Vendor</t>
        </is>
      </c>
      <c r="C8" s="14" t="inlineStr">
        <is>
          <t>Full-Time (200%)</t>
        </is>
      </c>
      <c r="D8" s="13" t="inlineStr">
        <is>
          <t>Development of OMS routing microservices, real-time inventory locks, SAP &amp; Shopify API connectors</t>
        </is>
      </c>
      <c r="E8" s="13" t="inlineStr">
        <is>
          <t>REST/GraphQL APIs, Kafka Consumers, Worker Jobs</t>
        </is>
      </c>
      <c r="F8" s="14" t="inlineStr">
        <is>
          <t>Senior</t>
        </is>
      </c>
    </row>
    <row r="9" ht="28" customHeight="1">
      <c r="A9" s="11" t="inlineStr">
        <is>
          <t>Senior Frontend Engineer</t>
        </is>
      </c>
      <c r="B9" s="12" t="inlineStr">
        <is>
          <t>Vendor</t>
        </is>
      </c>
      <c r="C9" s="12" t="inlineStr">
        <is>
          <t>Full-Time (100%)</t>
        </is>
      </c>
      <c r="D9" s="11" t="inlineStr">
        <is>
          <t>Next.js 15 Web Portal for operations, store managers, and executive order monitoring dashboard</t>
        </is>
      </c>
      <c r="E9" s="11" t="inlineStr">
        <is>
          <t>Responsive Web Portal, Real-time WebSockets Dashboard</t>
        </is>
      </c>
      <c r="F9" s="12" t="inlineStr">
        <is>
          <t>Senior</t>
        </is>
      </c>
    </row>
    <row r="10" ht="28" customHeight="1">
      <c r="A10" s="13" t="inlineStr">
        <is>
          <t>Senior Mobile / PDA Engineer</t>
        </is>
      </c>
      <c r="B10" s="14" t="inlineStr">
        <is>
          <t>Vendor</t>
        </is>
      </c>
      <c r="C10" s="14" t="inlineStr">
        <is>
          <t>Full-Time (100%)</t>
        </is>
      </c>
      <c r="D10" s="13" t="inlineStr">
        <is>
          <t>Flutter cross-platform app for warehouse Zebra handheld scanners and store associate Click &amp; Collect</t>
        </is>
      </c>
      <c r="E10" s="13" t="inlineStr">
        <is>
          <t>Zebra PDA APK, Store iOS/Android Associate App</t>
        </is>
      </c>
      <c r="F10" s="14" t="inlineStr">
        <is>
          <t>Senior</t>
        </is>
      </c>
    </row>
    <row r="11" ht="28" customHeight="1">
      <c r="A11" s="11" t="inlineStr">
        <is>
          <t>QA / Automation Lead</t>
        </is>
      </c>
      <c r="B11" s="12" t="inlineStr">
        <is>
          <t>Vendor</t>
        </is>
      </c>
      <c r="C11" s="12" t="inlineStr">
        <is>
          <t>Full-Time (100%)</t>
        </is>
      </c>
      <c r="D11" s="11" t="inlineStr">
        <is>
          <t>Test strategy, automated integration test suites, load testing, regression testing, UAT coordination</t>
        </is>
      </c>
      <c r="E11" s="11" t="inlineStr">
        <is>
          <t>Test Plan, Automated E2E Cypress/Postman Suites</t>
        </is>
      </c>
      <c r="F11" s="12" t="inlineStr">
        <is>
          <t>Senior</t>
        </is>
      </c>
    </row>
    <row r="12" ht="28" customHeight="1">
      <c r="A12" s="13" t="inlineStr">
        <is>
          <t>UI/UX Product Designer</t>
        </is>
      </c>
      <c r="B12" s="14" t="inlineStr">
        <is>
          <t>Vendor</t>
        </is>
      </c>
      <c r="C12" s="14" t="inlineStr">
        <is>
          <t>Phase 1 &amp; 2 (50%)</t>
        </is>
      </c>
      <c r="D12" s="13" t="inlineStr">
        <is>
          <t>User journey mapping, warehouse ergonomic UI design, store associate workflow design, design system</t>
        </is>
      </c>
      <c r="E12" s="13" t="inlineStr">
        <is>
          <t>Figma Interactive Prototypes, Design System Tokens</t>
        </is>
      </c>
      <c r="F12" s="14" t="inlineStr">
        <is>
          <t>Senior</t>
        </is>
      </c>
    </row>
    <row r="13" ht="28" customHeight="1">
      <c r="A13" s="11" t="inlineStr">
        <is>
          <t>DevOps / Cloud Engineer</t>
        </is>
      </c>
      <c r="B13" s="12" t="inlineStr">
        <is>
          <t>Vendor</t>
        </is>
      </c>
      <c r="C13" s="12" t="inlineStr">
        <is>
          <t>Part-Time (40%)</t>
        </is>
      </c>
      <c r="D13" s="11" t="inlineStr">
        <is>
          <t>AWS infrastructure as code (Terraform), Kubernetes cluster orchestration, monitoring &amp; telemetry</t>
        </is>
      </c>
      <c r="E13" s="11" t="inlineStr">
        <is>
          <t>Terraform Scripts, Datadog / Grafana Dashboards</t>
        </is>
      </c>
      <c r="F13" s="12" t="inlineStr">
        <is>
          <t>Senior</t>
        </is>
      </c>
    </row>
    <row r="14" ht="28" customHeight="1">
      <c r="A14" s="13" t="inlineStr">
        <is>
          <t>Product Owner (PO)</t>
        </is>
      </c>
      <c r="B14" s="14" t="inlineStr">
        <is>
          <t>Client</t>
        </is>
      </c>
      <c r="C14" s="14" t="inlineStr">
        <is>
          <t>Key Stakeholder (40%)</t>
        </is>
      </c>
      <c r="D14" s="13" t="inlineStr">
        <is>
          <t>Business requirement clarification, prioritization of user stories, acceptance criteria sign-off</t>
        </is>
      </c>
      <c r="E14" s="13" t="inlineStr">
        <is>
          <t>Business Requirements Document (BRD), UAT Sign-off</t>
        </is>
      </c>
      <c r="F14" s="14" t="inlineStr">
        <is>
          <t>Executive</t>
        </is>
      </c>
    </row>
    <row r="15" ht="28" customHeight="1">
      <c r="A15" s="11" t="inlineStr">
        <is>
          <t>Enterprise IT Lead</t>
        </is>
      </c>
      <c r="B15" s="12" t="inlineStr">
        <is>
          <t>Client</t>
        </is>
      </c>
      <c r="C15" s="12" t="inlineStr">
        <is>
          <t>Key Partner (25%)</t>
        </is>
      </c>
      <c r="D15" s="11" t="inlineStr">
        <is>
          <t>Provisioning SAP OData endpoints, firewall whitelist, AWS account IAM role delegation</t>
        </is>
      </c>
      <c r="E15" s="11" t="inlineStr">
        <is>
          <t>Enterprise API Credentials, Sandbox Environments</t>
        </is>
      </c>
      <c r="F15" s="12" t="inlineStr">
        <is>
          <t>Lead</t>
        </is>
      </c>
    </row>
    <row r="16" ht="28" customHeight="1">
      <c r="A16" s="13" t="inlineStr">
        <is>
          <t>Retail Operations Champion</t>
        </is>
      </c>
      <c r="B16" s="14" t="inlineStr">
        <is>
          <t>Client</t>
        </is>
      </c>
      <c r="C16" s="14" t="inlineStr">
        <is>
          <t>Advisory (20%)</t>
        </is>
      </c>
      <c r="D16" s="13" t="inlineStr">
        <is>
          <t>Operational input on store workflows, pilot store coordination (Byron &amp; Sydney), staff training</t>
        </is>
      </c>
      <c r="E16" s="13" t="inlineStr">
        <is>
          <t>Store Standard Operating Procedures (SOP)</t>
        </is>
      </c>
      <c r="F16" s="14" t="inlineStr">
        <is>
          <t>Specialist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5" customWidth="1" min="3" max="3"/>
    <col width="25" customWidth="1" min="4" max="4"/>
    <col width="20" customWidth="1" min="5" max="5"/>
  </cols>
  <sheetData>
    <row r="1" ht="28" customHeight="1">
      <c r="A1" s="9" t="inlineStr">
        <is>
          <t>PROJECT MANAGEMENT &amp; DELIVERY METHODOLOGY</t>
        </is>
      </c>
    </row>
    <row r="2" ht="18" customHeight="1">
      <c r="A2" s="2" t="inlineStr">
        <is>
          <t>Agile Scrum framework, communication cadence, quality assurance governance, and risk control.</t>
        </is>
      </c>
    </row>
    <row r="3"/>
    <row r="4" ht="24" customHeight="1">
      <c r="A4" s="3" t="inlineStr">
        <is>
          <t>1. AGILE DELIVERY FRAMEWORK &amp; SPRINTS</t>
        </is>
      </c>
    </row>
    <row r="5" ht="24" customHeight="1">
      <c r="A5" s="4" t="inlineStr">
        <is>
          <t>Sprint Duration</t>
        </is>
      </c>
      <c r="B5" s="15" t="inlineStr">
        <is>
          <t>2 Calendar Weeks per Sprint (Total of 12 Sprints across 24 weeks).</t>
        </is>
      </c>
      <c r="C5" s="6" t="n"/>
      <c r="D5" s="6" t="n"/>
      <c r="E5" s="6" t="n"/>
    </row>
    <row r="6" ht="42" customHeight="1">
      <c r="A6" s="4" t="inlineStr">
        <is>
          <t>Sprint Planning</t>
        </is>
      </c>
      <c r="B6" s="15" t="inlineStr">
        <is>
          <t>Conducted alternate Mondays (9:00 AM - 11:00 AM). User stories estimated using Fibonacci story points.</t>
        </is>
      </c>
      <c r="C6" s="6" t="n"/>
      <c r="D6" s="6" t="n"/>
      <c r="E6" s="6" t="n"/>
    </row>
    <row r="7" ht="42" customHeight="1">
      <c r="A7" s="4" t="inlineStr">
        <is>
          <t>Daily Standup</t>
        </is>
      </c>
      <c r="B7" s="15" t="inlineStr">
        <is>
          <t>15-minute daily synchronization at 9:30 AM via Slack Huddle / Google Meet. Three questions: What was done yesterday, what will be done today, any blockers.</t>
        </is>
      </c>
      <c r="C7" s="6" t="n"/>
      <c r="D7" s="6" t="n"/>
      <c r="E7" s="6" t="n"/>
    </row>
    <row r="8" ht="42" customHeight="1">
      <c r="A8" s="4" t="inlineStr">
        <is>
          <t>Sprint Review &amp; Live Demo</t>
        </is>
      </c>
      <c r="B8" s="15" t="inlineStr">
        <is>
          <t>Alternate Fridays (3:00 PM - 4:00 PM). Live functional software demonstration in Staging environment with client PO and key stakeholders.</t>
        </is>
      </c>
      <c r="C8" s="6" t="n"/>
      <c r="D8" s="6" t="n"/>
      <c r="E8" s="6" t="n"/>
    </row>
    <row r="9" ht="42" customHeight="1">
      <c r="A9" s="4" t="inlineStr">
        <is>
          <t>Sprint Retrospective</t>
        </is>
      </c>
      <c r="B9" s="15" t="inlineStr">
        <is>
          <t>Alternate Fridays (4:00 PM - 5:00 PM). Internal vendor team review focusing on process optimization, velocity calibration, and impediments.</t>
        </is>
      </c>
      <c r="C9" s="6" t="n"/>
      <c r="D9" s="6" t="n"/>
      <c r="E9" s="6" t="n"/>
    </row>
    <row r="10"/>
    <row r="11" ht="24" customHeight="1">
      <c r="A11" s="3" t="inlineStr">
        <is>
          <t>2. TOOLING &amp; COLLABORATION PLATFORMS</t>
        </is>
      </c>
    </row>
    <row r="12" ht="42" customHeight="1">
      <c r="A12" s="4" t="inlineStr">
        <is>
          <t>Project Management &amp; Backlog</t>
        </is>
      </c>
      <c r="B12" s="15" t="inlineStr">
        <is>
          <t>Jira Software – Epics, User Stories, Bug tracking, Sprint Burndown Charts, and Velocity metrics.</t>
        </is>
      </c>
      <c r="C12" s="6" t="n"/>
      <c r="D12" s="6" t="n"/>
      <c r="E12" s="6" t="n"/>
    </row>
    <row r="13" ht="42" customHeight="1">
      <c r="A13" s="4" t="inlineStr">
        <is>
          <t>Documentation &amp; Knowledge Base</t>
        </is>
      </c>
      <c r="B13" s="15" t="inlineStr">
        <is>
          <t>Confluence – Architecture Decision Records (ADRs), API specifications, Meeting minutes, Deployment runbooks.</t>
        </is>
      </c>
      <c r="C13" s="6" t="n"/>
      <c r="D13" s="6" t="n"/>
      <c r="E13" s="6" t="n"/>
    </row>
    <row r="14" ht="42" customHeight="1">
      <c r="A14" s="4" t="inlineStr">
        <is>
          <t>Version Control &amp; CI/CD</t>
        </is>
      </c>
      <c r="B14" s="15" t="inlineStr">
        <is>
          <t>GitHub Enterprise – Trunk-based development, Pull Request peer review requirements (2 approvals), Automated GitHub Actions.</t>
        </is>
      </c>
      <c r="C14" s="6" t="n"/>
      <c r="D14" s="6" t="n"/>
      <c r="E14" s="6" t="n"/>
    </row>
    <row r="15" ht="42" customHeight="1">
      <c r="A15" s="4" t="inlineStr">
        <is>
          <t>UI/UX Design Collaboration</t>
        </is>
      </c>
      <c r="B15" s="15" t="inlineStr">
        <is>
          <t>Figma – Design systems, component libraries, responsive viewports, click-through interactive prototypes.</t>
        </is>
      </c>
      <c r="C15" s="6" t="n"/>
      <c r="D15" s="6" t="n"/>
      <c r="E15" s="6" t="n"/>
    </row>
    <row r="16" ht="42" customHeight="1">
      <c r="A16" s="4" t="inlineStr">
        <is>
          <t>Real-Time Communications</t>
        </is>
      </c>
      <c r="B16" s="15" t="inlineStr">
        <is>
          <t>Slack – Dedicated shared channels (#novasync-daily, #novasync-tech-dev, #novasync-announcements).</t>
        </is>
      </c>
      <c r="C16" s="6" t="n"/>
      <c r="D16" s="6" t="n"/>
      <c r="E16" s="6" t="n"/>
    </row>
    <row r="17"/>
    <row r="18" ht="24" customHeight="1">
      <c r="A18" s="3" t="inlineStr">
        <is>
          <t>3. QUALITY GOVERNANCE &amp; CODE REVIEW GATES</t>
        </is>
      </c>
    </row>
    <row r="19" ht="42" customHeight="1">
      <c r="A19" s="4" t="inlineStr">
        <is>
          <t>Code Review Standards</t>
        </is>
      </c>
      <c r="B19" s="15" t="inlineStr">
        <is>
          <t>Every Pull Request requires 2 peer approvals (including Tech Lead). PR template enforces unit test coverage, security checks, and lint clean.</t>
        </is>
      </c>
      <c r="C19" s="6" t="n"/>
      <c r="D19" s="6" t="n"/>
      <c r="E19" s="6" t="n"/>
    </row>
    <row r="20" ht="42" customHeight="1">
      <c r="A20" s="4" t="inlineStr">
        <is>
          <t>Automated Test Gates</t>
        </is>
      </c>
      <c r="B20" s="15" t="inlineStr">
        <is>
          <t>CI pipeline runs SonarQube quality gate: 0 critical vulnerabilities, &lt; 3% code duplication, minimum 80% automated unit test coverage.</t>
        </is>
      </c>
      <c r="C20" s="6" t="n"/>
      <c r="D20" s="6" t="n"/>
      <c r="E20" s="6" t="n"/>
    </row>
    <row r="21" ht="42" customHeight="1">
      <c r="A21" s="4" t="inlineStr">
        <is>
          <t>Deployment Automation</t>
        </is>
      </c>
      <c r="B21" s="15" t="inlineStr">
        <is>
          <t>Automated deployment to Dev environment on merge to 'develop' branch; Automated Staging deployment on tagged sprint release.</t>
        </is>
      </c>
      <c r="C21" s="6" t="n"/>
      <c r="D21" s="6" t="n"/>
      <c r="E21" s="6" t="n"/>
    </row>
    <row r="22"/>
    <row r="23" ht="24" customHeight="1">
      <c r="A23" s="3" t="inlineStr">
        <is>
          <t>4. SCOPE CHANGE MANAGEMENT PROCEDURE (CR)</t>
        </is>
      </c>
    </row>
    <row r="24" ht="42" customHeight="1">
      <c r="A24" s="4" t="inlineStr">
        <is>
          <t>Change Request Trigger</t>
        </is>
      </c>
      <c r="B24" s="15" t="inlineStr">
        <is>
          <t>Any requirement alteration exceeding 10% deviation from baseline Functional Requirements (FR) sheet.</t>
        </is>
      </c>
      <c r="C24" s="6" t="n"/>
      <c r="D24" s="6" t="n"/>
      <c r="E24" s="6" t="n"/>
    </row>
    <row r="25" ht="42" customHeight="1">
      <c r="A25" s="4" t="inlineStr">
        <is>
          <t>Impact Assessment</t>
        </is>
      </c>
      <c r="B25" s="15" t="inlineStr">
        <is>
          <t>Vendor PM and Solution Architect evaluate impact on budget, timeline, and dependencies within 48 business hours.</t>
        </is>
      </c>
      <c r="C25" s="6" t="n"/>
      <c r="D25" s="6" t="n"/>
      <c r="E25" s="6" t="n"/>
    </row>
    <row r="26" ht="42" customHeight="1">
      <c r="A26" s="4" t="inlineStr">
        <is>
          <t>Commercial Agreement</t>
        </is>
      </c>
      <c r="B26" s="15" t="inlineStr">
        <is>
          <t>Formal Change Order document detailing added story points, timeline impact, and cost signed off by Client Sponsor prior to implementation.</t>
        </is>
      </c>
      <c r="C26" s="6" t="n"/>
      <c r="D26" s="6" t="n"/>
      <c r="E26" s="6" t="n"/>
    </row>
  </sheetData>
  <mergeCells count="22">
    <mergeCell ref="B9:E9"/>
    <mergeCell ref="B6:E6"/>
    <mergeCell ref="A11:E11"/>
    <mergeCell ref="B15:E15"/>
    <mergeCell ref="A1:E1"/>
    <mergeCell ref="B24:E24"/>
    <mergeCell ref="B5:E5"/>
    <mergeCell ref="B20:E20"/>
    <mergeCell ref="B26:E26"/>
    <mergeCell ref="B16:E16"/>
    <mergeCell ref="B7:E7"/>
    <mergeCell ref="B25:E25"/>
    <mergeCell ref="A18:E18"/>
    <mergeCell ref="A2:E2"/>
    <mergeCell ref="B12:E12"/>
    <mergeCell ref="B21:E21"/>
    <mergeCell ref="A23:E23"/>
    <mergeCell ref="B14:E14"/>
    <mergeCell ref="A4:E4"/>
    <mergeCell ref="B8:E8"/>
    <mergeCell ref="B13:E13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15" customWidth="1" min="2" max="2"/>
    <col width="75" customWidth="1" min="3" max="3"/>
    <col width="12" customWidth="1" min="4" max="4"/>
    <col width="14" customWidth="1" min="5" max="5"/>
    <col width="75" customWidth="1" min="6" max="6"/>
    <col width="24" customWidth="1" min="7" max="7"/>
  </cols>
  <sheetData>
    <row r="1" ht="28" customHeight="1">
      <c r="A1" s="9" t="inlineStr">
        <is>
          <t>RAID LOG: RISKS, ASSUMPTIONS, ISSUES &amp; DEPENDENCIES</t>
        </is>
      </c>
    </row>
    <row r="2" ht="18" customHeight="1">
      <c r="A2" s="2" t="inlineStr">
        <is>
          <t>Active risk management matrix monitored continuously during weekly governance meetings.</t>
        </is>
      </c>
    </row>
    <row r="3"/>
    <row r="4" ht="24" customHeight="1">
      <c r="A4" s="10" t="inlineStr">
        <is>
          <t>ID</t>
        </is>
      </c>
      <c r="B4" s="10" t="inlineStr">
        <is>
          <t>Category</t>
        </is>
      </c>
      <c r="C4" s="10" t="inlineStr">
        <is>
          <t>Item Description</t>
        </is>
      </c>
      <c r="D4" s="10" t="inlineStr">
        <is>
          <t>Impact</t>
        </is>
      </c>
      <c r="E4" s="10" t="inlineStr">
        <is>
          <t>Probability</t>
        </is>
      </c>
      <c r="F4" s="10" t="inlineStr">
        <is>
          <t>Mitigation Strategy &amp; Action Plan</t>
        </is>
      </c>
      <c r="G4" s="10" t="inlineStr">
        <is>
          <t>Owner</t>
        </is>
      </c>
    </row>
    <row r="5" ht="32" customHeight="1">
      <c r="A5" s="16" t="inlineStr">
        <is>
          <t>RSK-01</t>
        </is>
      </c>
      <c r="B5" s="16" t="inlineStr">
        <is>
          <t>Risk</t>
        </is>
      </c>
      <c r="C5" s="11" t="inlineStr">
        <is>
          <t>Shopify Plus GraphQL API rate limits exceeded during flash sales / peak traffic events.</t>
        </is>
      </c>
      <c r="D5" s="16" t="inlineStr">
        <is>
          <t>High</t>
        </is>
      </c>
      <c r="E5" s="16" t="inlineStr">
        <is>
          <t>Medium</t>
        </is>
      </c>
      <c r="F5" s="11" t="inlineStr">
        <is>
          <t>Implement Redis queue buffer with exponential backoff and batch inventory update mutations (max 250 items/call).</t>
        </is>
      </c>
      <c r="G5" s="16" t="inlineStr">
        <is>
          <t>Tech Lead</t>
        </is>
      </c>
    </row>
    <row r="6" ht="32" customHeight="1">
      <c r="A6" s="17" t="inlineStr">
        <is>
          <t>RSK-02</t>
        </is>
      </c>
      <c r="B6" s="17" t="inlineStr">
        <is>
          <t>Risk</t>
        </is>
      </c>
      <c r="C6" s="13" t="inlineStr">
        <is>
          <t>Legacy POS batch synchronization latency creates phantom inventory reservations.</t>
        </is>
      </c>
      <c r="D6" s="17" t="inlineStr">
        <is>
          <t>High</t>
        </is>
      </c>
      <c r="E6" s="17" t="inlineStr">
        <is>
          <t>High</t>
        </is>
      </c>
      <c r="F6" s="13" t="inlineStr">
        <is>
          <t>Enforce safety stock buffer threshold (reserve 2 units) and webhook triggers from POS cash register terminals.</t>
        </is>
      </c>
      <c r="G6" s="17" t="inlineStr">
        <is>
          <t>Solution Architect</t>
        </is>
      </c>
    </row>
    <row r="7" ht="32" customHeight="1">
      <c r="A7" s="16" t="inlineStr">
        <is>
          <t>RSK-03</t>
        </is>
      </c>
      <c r="B7" s="16" t="inlineStr">
        <is>
          <t>Risk</t>
        </is>
      </c>
      <c r="C7" s="11" t="inlineStr">
        <is>
          <t>Warehouse staff resist transition from paper picking manifests to Android Zebra PDAs.</t>
        </is>
      </c>
      <c r="D7" s="16" t="inlineStr">
        <is>
          <t>Medium</t>
        </is>
      </c>
      <c r="E7" s="16" t="inlineStr">
        <is>
          <t>High</t>
        </is>
      </c>
      <c r="F7" s="11" t="inlineStr">
        <is>
          <t>Conduct comprehensive on-site training sessions in Sydney DC; design high-contrast tactile barcode scanning UX.</t>
        </is>
      </c>
      <c r="G7" s="16" t="inlineStr">
        <is>
          <t>Retail Ops Lead</t>
        </is>
      </c>
    </row>
    <row r="8" ht="32" customHeight="1">
      <c r="A8" s="17" t="inlineStr">
        <is>
          <t>RSK-04</t>
        </is>
      </c>
      <c r="B8" s="17" t="inlineStr">
        <is>
          <t>Risk</t>
        </is>
      </c>
      <c r="C8" s="13" t="inlineStr">
        <is>
          <t>Courier carrier API response latency (&gt; 3s) stalls shipping label printing at packing stations.</t>
        </is>
      </c>
      <c r="D8" s="17" t="inlineStr">
        <is>
          <t>High</t>
        </is>
      </c>
      <c r="E8" s="17" t="inlineStr">
        <is>
          <t>Medium</t>
        </is>
      </c>
      <c r="F8" s="13" t="inlineStr">
        <is>
          <t>Pre-fetch courier labels asynchronously during picking phase; cache shipping manifests locally.</t>
        </is>
      </c>
      <c r="G8" s="17" t="inlineStr">
        <is>
          <t>Senior Backend</t>
        </is>
      </c>
    </row>
    <row r="9" ht="32" customHeight="1">
      <c r="A9" s="16" t="inlineStr">
        <is>
          <t>ASM-01</t>
        </is>
      </c>
      <c r="B9" s="16" t="inlineStr">
        <is>
          <t>Assumption</t>
        </is>
      </c>
      <c r="C9" s="11" t="inlineStr">
        <is>
          <t>Client Product Owner will be available at least 15 hours/week for sprint ceremonies and prompt UAT sign-off.</t>
        </is>
      </c>
      <c r="D9" s="16" t="inlineStr">
        <is>
          <t>High</t>
        </is>
      </c>
      <c r="E9" s="16" t="inlineStr">
        <is>
          <t>N/A</t>
        </is>
      </c>
      <c r="F9" s="11" t="inlineStr">
        <is>
          <t>Agreed in Project Charter; PO backup appointed (Elena Rostova - COO).</t>
        </is>
      </c>
      <c r="G9" s="16" t="inlineStr">
        <is>
          <t>Client Sponsor</t>
        </is>
      </c>
    </row>
    <row r="10" ht="32" customHeight="1">
      <c r="A10" s="17" t="inlineStr">
        <is>
          <t>ASM-02</t>
        </is>
      </c>
      <c r="B10" s="17" t="inlineStr">
        <is>
          <t>Assumption</t>
        </is>
      </c>
      <c r="C10" s="13" t="inlineStr">
        <is>
          <t>Test sandbox credentials for SAP S/4HANA OData services provided no later than Sprint 1 kickoff.</t>
        </is>
      </c>
      <c r="D10" s="17" t="inlineStr">
        <is>
          <t>High</t>
        </is>
      </c>
      <c r="E10" s="17" t="inlineStr">
        <is>
          <t>N/A</t>
        </is>
      </c>
      <c r="F10" s="13" t="inlineStr">
        <is>
          <t>Client IT team confirmed sandbox ready by Oct 28.</t>
        </is>
      </c>
      <c r="G10" s="17" t="inlineStr">
        <is>
          <t>Enterprise IT Lead</t>
        </is>
      </c>
    </row>
    <row r="11" ht="32" customHeight="1">
      <c r="A11" s="16" t="inlineStr">
        <is>
          <t>ASM-03</t>
        </is>
      </c>
      <c r="B11" s="16" t="inlineStr">
        <is>
          <t>Assumption</t>
        </is>
      </c>
      <c r="C11" s="11" t="inlineStr">
        <is>
          <t>All 3 Distribution Centers have high-density 5GHz Wi-Fi coverage across all warehouse aisles.</t>
        </is>
      </c>
      <c r="D11" s="16" t="inlineStr">
        <is>
          <t>Medium</t>
        </is>
      </c>
      <c r="E11" s="16" t="inlineStr">
        <is>
          <t>N/A</t>
        </is>
      </c>
      <c r="F11" s="11" t="inlineStr">
        <is>
          <t>Client facility manager conducted RF signal audit in Sept 2026.</t>
        </is>
      </c>
      <c r="G11" s="16" t="inlineStr">
        <is>
          <t>Client PM</t>
        </is>
      </c>
    </row>
    <row r="12" ht="32" customHeight="1">
      <c r="A12" s="17" t="inlineStr">
        <is>
          <t>ISS-01</t>
        </is>
      </c>
      <c r="B12" s="17" t="inlineStr">
        <is>
          <t>Issue</t>
        </is>
      </c>
      <c r="C12" s="13" t="inlineStr">
        <is>
          <t>Legacy POS hardware at 18 regional stores has outdated firmware not supporting TLS 1.3.</t>
        </is>
      </c>
      <c r="D12" s="17" t="inlineStr">
        <is>
          <t>Medium</t>
        </is>
      </c>
      <c r="E12" s="17" t="inlineStr">
        <is>
          <t>Active</t>
        </is>
      </c>
      <c r="F12" s="13" t="inlineStr">
        <is>
          <t>Client IT to perform automated overnight firmware update across store POS terminals before Sprint 6.</t>
        </is>
      </c>
      <c r="G12" s="17" t="inlineStr">
        <is>
          <t>Enterprise IT Lead</t>
        </is>
      </c>
    </row>
    <row r="13" ht="32" customHeight="1">
      <c r="A13" s="16" t="inlineStr">
        <is>
          <t>DEP-01</t>
        </is>
      </c>
      <c r="B13" s="16" t="inlineStr">
        <is>
          <t>Dependency</t>
        </is>
      </c>
      <c r="C13" s="11" t="inlineStr">
        <is>
          <t>AWS Australia (ap-southeast-2) Production Cloud Account provisioning and enterprise billing activation.</t>
        </is>
      </c>
      <c r="D13" s="16" t="inlineStr">
        <is>
          <t>High</t>
        </is>
      </c>
      <c r="E13" s="16" t="inlineStr">
        <is>
          <t>Open</t>
        </is>
      </c>
      <c r="F13" s="11" t="inlineStr">
        <is>
          <t>DevOps engineer provided Terraform Cloud account requirements; client to sign AWS agreement by Sprint 0.</t>
        </is>
      </c>
      <c r="G13" s="16" t="inlineStr">
        <is>
          <t>DevOps Lead</t>
        </is>
      </c>
    </row>
    <row r="14" ht="32" customHeight="1">
      <c r="A14" s="17" t="inlineStr">
        <is>
          <t>DEP-02</t>
        </is>
      </c>
      <c r="B14" s="17" t="inlineStr">
        <is>
          <t>Dependency</t>
        </is>
      </c>
      <c r="C14" s="13" t="inlineStr">
        <is>
          <t>AusPost eParcel and DHL Express commercial API production credentials and contract sign-off.</t>
        </is>
      </c>
      <c r="D14" s="17" t="inlineStr">
        <is>
          <t>High</t>
        </is>
      </c>
      <c r="E14" s="17" t="inlineStr">
        <is>
          <t>Open</t>
        </is>
      </c>
      <c r="F14" s="13" t="inlineStr">
        <is>
          <t>Client Logistics manager managing courier onboarding; mock sandbox services used in Sprints 2-4.</t>
        </is>
      </c>
      <c r="G14" s="17" t="inlineStr">
        <is>
          <t>Client Logistics Lead</t>
        </is>
      </c>
    </row>
    <row r="15" ht="32" customHeight="1">
      <c r="A15" s="16" t="inlineStr">
        <is>
          <t>DEP-03</t>
        </is>
      </c>
      <c r="B15" s="16" t="inlineStr">
        <is>
          <t>Dependency</t>
        </is>
      </c>
      <c r="C15" s="11" t="inlineStr">
        <is>
          <t>Zebra TC52 Android handheld scanner hardware procurement and OS staging (120 units total).</t>
        </is>
      </c>
      <c r="D15" s="16" t="inlineStr">
        <is>
          <t>Medium</t>
        </is>
      </c>
      <c r="E15" s="16" t="inlineStr">
        <is>
          <t>Open</t>
        </is>
      </c>
      <c r="F15" s="11" t="inlineStr">
        <is>
          <t>Hardware vendor PO placed; delivery scheduled in two batches (Batch 1: Week 8, Batch 2: Week 14).</t>
        </is>
      </c>
      <c r="G15" s="16" t="inlineStr">
        <is>
          <t>Retail Ops Lead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75" customWidth="1" min="3" max="3"/>
    <col width="23" customWidth="1" min="4" max="4"/>
    <col width="24" customWidth="1" min="5" max="5"/>
    <col width="49" customWidth="1" min="6" max="6"/>
  </cols>
  <sheetData>
    <row r="1" ht="28" customHeight="1">
      <c r="A1" s="9" t="inlineStr">
        <is>
          <t>QUALITY ASSURANCE, ACCEPTANCE CRITERIA &amp; DEFECT SLA</t>
        </is>
      </c>
    </row>
    <row r="2" ht="18" customHeight="1">
      <c r="A2" s="2" t="inlineStr">
        <is>
          <t>Milestone acceptance definitions, Definition of Done (DoD), and production defect severity SLAs.</t>
        </is>
      </c>
    </row>
    <row r="3"/>
    <row r="4" ht="24" customHeight="1">
      <c r="A4" s="3" t="inlineStr">
        <is>
          <t>1. DEFINITION OF DONE (DoD) FOR SPRINT USER STORIES</t>
        </is>
      </c>
    </row>
    <row r="5" ht="22" customHeight="1">
      <c r="A5" s="4" t="inlineStr">
        <is>
          <t>Criterion 1: Code Review</t>
        </is>
      </c>
      <c r="B5" s="15" t="inlineStr">
        <is>
          <t>All code committed to feature branch, passed automated linter, and approved by 2 senior developers via GitHub PR.</t>
        </is>
      </c>
      <c r="C5" s="6" t="n"/>
      <c r="D5" s="6" t="n"/>
      <c r="E5" s="6" t="n"/>
      <c r="F5" s="6" t="n"/>
    </row>
    <row r="6" ht="22" customHeight="1">
      <c r="A6" s="4" t="inlineStr">
        <is>
          <t>Criterion 2: Automated Tests</t>
        </is>
      </c>
      <c r="B6" s="15" t="inlineStr">
        <is>
          <t>Unit tests written and passing with &gt;= 80% code coverage. Automated integration tests pass on GitHub Actions.</t>
        </is>
      </c>
      <c r="C6" s="6" t="n"/>
      <c r="D6" s="6" t="n"/>
      <c r="E6" s="6" t="n"/>
      <c r="F6" s="6" t="n"/>
    </row>
    <row r="7" ht="22" customHeight="1">
      <c r="A7" s="4" t="inlineStr">
        <is>
          <t>Criterion 3: Security &amp; Quality</t>
        </is>
      </c>
      <c r="B7" s="15" t="inlineStr">
        <is>
          <t>SonarQube scan passes with 0 Blocker/Critical bugs and 0 high-severity security vulnerabilities.</t>
        </is>
      </c>
      <c r="C7" s="6" t="n"/>
      <c r="D7" s="6" t="n"/>
      <c r="E7" s="6" t="n"/>
      <c r="F7" s="6" t="n"/>
    </row>
    <row r="8" ht="22" customHeight="1">
      <c r="A8" s="4" t="inlineStr">
        <is>
          <t>Criterion 4: Deployment &amp; Config</t>
        </is>
      </c>
      <c r="B8" s="15" t="inlineStr">
        <is>
          <t>Code automatically deployed to Staging environment with database migration scripts verified and idempotency confirmed.</t>
        </is>
      </c>
      <c r="C8" s="6" t="n"/>
      <c r="D8" s="6" t="n"/>
      <c r="E8" s="6" t="n"/>
      <c r="F8" s="6" t="n"/>
    </row>
    <row r="9" ht="22" customHeight="1">
      <c r="A9" s="4" t="inlineStr">
        <is>
          <t>Criterion 5: Documentation</t>
        </is>
      </c>
      <c r="B9" s="15" t="inlineStr">
        <is>
          <t>API documentation generated via Swagger / OpenAPI. Any architectural changes documented in Confluence ADR.</t>
        </is>
      </c>
      <c r="C9" s="6" t="n"/>
      <c r="D9" s="6" t="n"/>
      <c r="E9" s="6" t="n"/>
      <c r="F9" s="6" t="n"/>
    </row>
    <row r="10" ht="22" customHeight="1">
      <c r="A10" s="4" t="inlineStr">
        <is>
          <t>Criterion 6: Acceptance Sign-off</t>
        </is>
      </c>
      <c r="B10" s="15" t="inlineStr">
        <is>
          <t>Client Product Owner verifies story against Gherkin Given-When-Then criteria in Staging and marks Jira story 'Accepted'.</t>
        </is>
      </c>
      <c r="C10" s="6" t="n"/>
      <c r="D10" s="6" t="n"/>
      <c r="E10" s="6" t="n"/>
      <c r="F10" s="6" t="n"/>
    </row>
    <row r="11"/>
    <row r="12" ht="24" customHeight="1">
      <c r="A12" s="3" t="inlineStr">
        <is>
          <t>2. DEFECT SEVERITY CLASSIFICATION &amp; RESOLUTION SLA (UAT &amp; WARRANTY)</t>
        </is>
      </c>
    </row>
    <row r="13" ht="24" customHeight="1">
      <c r="A13" s="10" t="inlineStr">
        <is>
          <t>Severity Level</t>
        </is>
      </c>
      <c r="B13" s="10" t="inlineStr">
        <is>
          <t>Definition</t>
        </is>
      </c>
      <c r="C13" s="10" t="inlineStr">
        <is>
          <t>Example Scenario</t>
        </is>
      </c>
      <c r="D13" s="10" t="inlineStr">
        <is>
          <t>Initial Response SLA</t>
        </is>
      </c>
      <c r="E13" s="10" t="inlineStr">
        <is>
          <t>Target Resolution SLA</t>
        </is>
      </c>
      <c r="F13" s="10" t="inlineStr">
        <is>
          <t>Exit Gate Impact</t>
        </is>
      </c>
    </row>
    <row r="14" ht="32" customHeight="1">
      <c r="A14" s="14" t="inlineStr">
        <is>
          <t>P1 – Blocker</t>
        </is>
      </c>
      <c r="B14" s="13" t="inlineStr">
        <is>
          <t>Critical system outage, total data loss risk, or complete stoppage of core checkout/picking.</t>
        </is>
      </c>
      <c r="C14" s="13" t="inlineStr">
        <is>
          <t>Inventory lock engine crashes; all order routing ceases across all stores.</t>
        </is>
      </c>
      <c r="D14" s="14" t="inlineStr">
        <is>
          <t>&lt; 1 Hour</t>
        </is>
      </c>
      <c r="E14" s="14" t="inlineStr">
        <is>
          <t>&lt; 4 Hours</t>
        </is>
      </c>
      <c r="F14" s="13" t="inlineStr">
        <is>
          <t>Blocks Milestone Go-Live (Zero P1 tolerated)</t>
        </is>
      </c>
    </row>
    <row r="15" ht="32" customHeight="1">
      <c r="A15" s="12" t="inlineStr">
        <is>
          <t>P2 – Critical</t>
        </is>
      </c>
      <c r="B15" s="11" t="inlineStr">
        <is>
          <t>Major feature unusable with no reasonable workaround available for staff.</t>
        </is>
      </c>
      <c r="C15" s="11" t="inlineStr">
        <is>
          <t>Zebra PDA scanner app crashes when scanning multi-SKU barcode bins.</t>
        </is>
      </c>
      <c r="D15" s="12" t="inlineStr">
        <is>
          <t>&lt; 2 Hours</t>
        </is>
      </c>
      <c r="E15" s="12" t="inlineStr">
        <is>
          <t>&lt; 8 Hours</t>
        </is>
      </c>
      <c r="F15" s="11" t="inlineStr">
        <is>
          <t>Blocks Milestone Go-Live (Zero P2 tolerated)</t>
        </is>
      </c>
    </row>
    <row r="16" ht="32" customHeight="1">
      <c r="A16" s="14" t="inlineStr">
        <is>
          <t>P3 – Major</t>
        </is>
      </c>
      <c r="B16" s="13" t="inlineStr">
        <is>
          <t>Feature failure but reasonable manual workaround exists without business disruption.</t>
        </is>
      </c>
      <c r="C16" s="13" t="inlineStr">
        <is>
          <t>Courier tracking SMS fails to trigger; customer still receives email update.</t>
        </is>
      </c>
      <c r="D16" s="14" t="inlineStr">
        <is>
          <t>&lt; 4 Hours</t>
        </is>
      </c>
      <c r="E16" s="14" t="inlineStr">
        <is>
          <t>&lt; 24 Hours</t>
        </is>
      </c>
      <c r="F16" s="13" t="inlineStr">
        <is>
          <t>Max 3 open P3 allowed with approved fix plan</t>
        </is>
      </c>
    </row>
    <row r="17" ht="32" customHeight="1">
      <c r="A17" s="12" t="inlineStr">
        <is>
          <t>P4 – Minor</t>
        </is>
      </c>
      <c r="B17" s="11" t="inlineStr">
        <is>
          <t>Cosmetic, minor UI alignment issue, or minor typo with zero functional impact.</t>
        </is>
      </c>
      <c r="C17" s="11" t="inlineStr">
        <is>
          <t>Dashboard chart legend overlaps slightly on mobile viewport resolution.</t>
        </is>
      </c>
      <c r="D17" s="12" t="inlineStr">
        <is>
          <t>&lt; 8 Hours</t>
        </is>
      </c>
      <c r="E17" s="12" t="inlineStr">
        <is>
          <t>&lt; 72 Hours</t>
        </is>
      </c>
      <c r="F17" s="11" t="inlineStr">
        <is>
          <t>Resolved in subsequent scheduled patch release</t>
        </is>
      </c>
    </row>
  </sheetData>
  <mergeCells count="10">
    <mergeCell ref="A2:F2"/>
    <mergeCell ref="B7:F7"/>
    <mergeCell ref="B6:F6"/>
    <mergeCell ref="B10:F10"/>
    <mergeCell ref="A1:F1"/>
    <mergeCell ref="B5:F5"/>
    <mergeCell ref="A12:F12"/>
    <mergeCell ref="A4:F4"/>
    <mergeCell ref="B8:F8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4" customWidth="1" min="2" max="2"/>
    <col width="40" customWidth="1" min="3" max="3"/>
    <col width="75" customWidth="1" min="4" max="4"/>
    <col width="20" customWidth="1" min="5" max="5"/>
    <col width="14" customWidth="1" min="6" max="6"/>
    <col width="20" customWidth="1" min="7" max="7"/>
  </cols>
  <sheetData>
    <row r="1" ht="28" customHeight="1">
      <c r="A1" s="9" t="inlineStr">
        <is>
          <t>FUNCTIONAL REQUIREMENTS MATRIX (FR)</t>
        </is>
      </c>
    </row>
    <row r="2" ht="18" customHeight="1">
      <c r="A2" s="2" t="inlineStr">
        <is>
          <t>Detailed functional breakdown across OMS, Real-time Inventory, WMS Lite, Store Associate App &amp; Logistics.</t>
        </is>
      </c>
    </row>
    <row r="3"/>
    <row r="4" ht="24" customHeight="1">
      <c r="A4" s="10" t="inlineStr">
        <is>
          <t>Requirement ID</t>
        </is>
      </c>
      <c r="B4" s="10" t="inlineStr">
        <is>
          <t>Functional Module</t>
        </is>
      </c>
      <c r="C4" s="10" t="inlineStr">
        <is>
          <t>Feature Name</t>
        </is>
      </c>
      <c r="D4" s="10" t="inlineStr">
        <is>
          <t>Detailed User Story &amp; Specification</t>
        </is>
      </c>
      <c r="E4" s="10" t="inlineStr">
        <is>
          <t>Priority (MoSCoW)</t>
        </is>
      </c>
      <c r="F4" s="10" t="inlineStr">
        <is>
          <t>Complexity</t>
        </is>
      </c>
      <c r="G4" s="10" t="inlineStr">
        <is>
          <t>Sprint Allocation</t>
        </is>
      </c>
    </row>
    <row r="5" ht="26" customHeight="1">
      <c r="A5" s="12" t="inlineStr">
        <is>
          <t>FR-OMS-01</t>
        </is>
      </c>
      <c r="B5" s="12" t="inlineStr">
        <is>
          <t>Core OMS Engine</t>
        </is>
      </c>
      <c r="C5" s="11" t="inlineStr">
        <is>
          <t>Order Ingestion Webhooks</t>
        </is>
      </c>
      <c r="D5" s="11" t="inlineStr">
        <is>
          <t>System shall ingest orders in real-time from Shopify Plus, TikTok Shop, and wholesale B2B via secure webhooks.</t>
        </is>
      </c>
      <c r="E5" s="12" t="inlineStr">
        <is>
          <t>Must-Have</t>
        </is>
      </c>
      <c r="F5" s="12" t="inlineStr">
        <is>
          <t>Medium</t>
        </is>
      </c>
      <c r="G5" s="12" t="inlineStr">
        <is>
          <t>Sprint 1</t>
        </is>
      </c>
    </row>
    <row r="6" ht="26" customHeight="1">
      <c r="A6" s="14" t="inlineStr">
        <is>
          <t>FR-OMS-02</t>
        </is>
      </c>
      <c r="B6" s="14" t="inlineStr">
        <is>
          <t>Core OMS Engine</t>
        </is>
      </c>
      <c r="C6" s="13" t="inlineStr">
        <is>
          <t>Intelligent Order Routing</t>
        </is>
      </c>
      <c r="D6" s="13" t="inlineStr">
        <is>
          <t>System shall dynamically route orders to the closest fulfillment node (DC or local store) based on distance, stock depth, and carrier cost.</t>
        </is>
      </c>
      <c r="E6" s="14" t="inlineStr">
        <is>
          <t>Must-Have</t>
        </is>
      </c>
      <c r="F6" s="14" t="inlineStr">
        <is>
          <t>High</t>
        </is>
      </c>
      <c r="G6" s="14" t="inlineStr">
        <is>
          <t>Sprint 2</t>
        </is>
      </c>
    </row>
    <row r="7" ht="26" customHeight="1">
      <c r="A7" s="12" t="inlineStr">
        <is>
          <t>FR-OMS-03</t>
        </is>
      </c>
      <c r="B7" s="12" t="inlineStr">
        <is>
          <t>Core OMS Engine</t>
        </is>
      </c>
      <c r="C7" s="11" t="inlineStr">
        <is>
          <t>Split-Shipment Optimization</t>
        </is>
      </c>
      <c r="D7" s="11" t="inlineStr">
        <is>
          <t>System shall automatically calculate optimal order splits when a single node cannot fulfill all line items, minimizing shipping legs.</t>
        </is>
      </c>
      <c r="E7" s="12" t="inlineStr">
        <is>
          <t>Should-Have</t>
        </is>
      </c>
      <c r="F7" s="12" t="inlineStr">
        <is>
          <t>High</t>
        </is>
      </c>
      <c r="G7" s="12" t="inlineStr">
        <is>
          <t>Sprint 3</t>
        </is>
      </c>
    </row>
    <row r="8" ht="26" customHeight="1">
      <c r="A8" s="14" t="inlineStr">
        <is>
          <t>FR-OMS-04</t>
        </is>
      </c>
      <c r="B8" s="14" t="inlineStr">
        <is>
          <t>Core OMS Engine</t>
        </is>
      </c>
      <c r="C8" s="13" t="inlineStr">
        <is>
          <t>Order Lifecycle State Machine</t>
        </is>
      </c>
      <c r="D8" s="13" t="inlineStr">
        <is>
          <t>System shall maintain finite state machine for orders (Pending, Routed, Allocated, Picking, Shipped, Delivered, Cancelled, Returned).</t>
        </is>
      </c>
      <c r="E8" s="14" t="inlineStr">
        <is>
          <t>Must-Have</t>
        </is>
      </c>
      <c r="F8" s="14" t="inlineStr">
        <is>
          <t>Medium</t>
        </is>
      </c>
      <c r="G8" s="14" t="inlineStr">
        <is>
          <t>Sprint 2</t>
        </is>
      </c>
    </row>
    <row r="9" ht="26" customHeight="1">
      <c r="A9" s="12" t="inlineStr">
        <is>
          <t>FR-INV-01</t>
        </is>
      </c>
      <c r="B9" s="12" t="inlineStr">
        <is>
          <t>Inventory Engine</t>
        </is>
      </c>
      <c r="C9" s="11" t="inlineStr">
        <is>
          <t>Distributed Stock Ledger</t>
        </is>
      </c>
      <c r="D9" s="11" t="inlineStr">
        <is>
          <t>System shall maintain an atomic distributed inventory ledger with sub-second balance updates across 120 stores and 3 DCs.</t>
        </is>
      </c>
      <c r="E9" s="12" t="inlineStr">
        <is>
          <t>Must-Have</t>
        </is>
      </c>
      <c r="F9" s="12" t="inlineStr">
        <is>
          <t>High</t>
        </is>
      </c>
      <c r="G9" s="12" t="inlineStr">
        <is>
          <t>Sprint 1</t>
        </is>
      </c>
    </row>
    <row r="10" ht="26" customHeight="1">
      <c r="A10" s="14" t="inlineStr">
        <is>
          <t>FR-INV-02</t>
        </is>
      </c>
      <c r="B10" s="14" t="inlineStr">
        <is>
          <t>Inventory Engine</t>
        </is>
      </c>
      <c r="C10" s="13" t="inlineStr">
        <is>
          <t>Channel Reservation Locks</t>
        </is>
      </c>
      <c r="D10" s="13" t="inlineStr">
        <is>
          <t>System shall acquire Redis-backed temporary reservation locks (15 min lease) during online checkout to eliminate overselling.</t>
        </is>
      </c>
      <c r="E10" s="14" t="inlineStr">
        <is>
          <t>Must-Have</t>
        </is>
      </c>
      <c r="F10" s="14" t="inlineStr">
        <is>
          <t>High</t>
        </is>
      </c>
      <c r="G10" s="14" t="inlineStr">
        <is>
          <t>Sprint 2</t>
        </is>
      </c>
    </row>
    <row r="11" ht="26" customHeight="1">
      <c r="A11" s="12" t="inlineStr">
        <is>
          <t>FR-INV-03</t>
        </is>
      </c>
      <c r="B11" s="12" t="inlineStr">
        <is>
          <t>Inventory Engine</t>
        </is>
      </c>
      <c r="C11" s="11" t="inlineStr">
        <is>
          <t>Safety Buffer Rules</t>
        </is>
      </c>
      <c r="D11" s="11" t="inlineStr">
        <is>
          <t>System shall allow setting configurable safety stock thresholds per SKU/category (e.g., reserve 2 units for walk-in store customers).</t>
        </is>
      </c>
      <c r="E11" s="12" t="inlineStr">
        <is>
          <t>Must-Have</t>
        </is>
      </c>
      <c r="F11" s="12" t="inlineStr">
        <is>
          <t>Medium</t>
        </is>
      </c>
      <c r="G11" s="12" t="inlineStr">
        <is>
          <t>Sprint 3</t>
        </is>
      </c>
    </row>
    <row r="12" ht="26" customHeight="1">
      <c r="A12" s="14" t="inlineStr">
        <is>
          <t>FR-INV-04</t>
        </is>
      </c>
      <c r="B12" s="14" t="inlineStr">
        <is>
          <t>Inventory Engine</t>
        </is>
      </c>
      <c r="C12" s="13" t="inlineStr">
        <is>
          <t>SAP S/4HANA Reconciliation</t>
        </is>
      </c>
      <c r="D12" s="13" t="inlineStr">
        <is>
          <t>System shall execute daily automated two-way inventory reconciliation with SAP Master Inventory, flagging discrepancies.</t>
        </is>
      </c>
      <c r="E12" s="14" t="inlineStr">
        <is>
          <t>Should-Have</t>
        </is>
      </c>
      <c r="F12" s="14" t="inlineStr">
        <is>
          <t>Medium</t>
        </is>
      </c>
      <c r="G12" s="14" t="inlineStr">
        <is>
          <t>Sprint 4</t>
        </is>
      </c>
    </row>
    <row r="13" ht="26" customHeight="1">
      <c r="A13" s="12" t="inlineStr">
        <is>
          <t>FR-WMS-01</t>
        </is>
      </c>
      <c r="B13" s="12" t="inlineStr">
        <is>
          <t>WMS Lite (DC)</t>
        </is>
      </c>
      <c r="C13" s="11" t="inlineStr">
        <is>
          <t>Digital Wave Picking</t>
        </is>
      </c>
      <c r="D13" s="11" t="inlineStr">
        <is>
          <t>System shall group orders into optimized pick waves based on warehouse zone, aisle location, and shipping cut-off time.</t>
        </is>
      </c>
      <c r="E13" s="12" t="inlineStr">
        <is>
          <t>Must-Have</t>
        </is>
      </c>
      <c r="F13" s="12" t="inlineStr">
        <is>
          <t>High</t>
        </is>
      </c>
      <c r="G13" s="12" t="inlineStr">
        <is>
          <t>Sprint 5</t>
        </is>
      </c>
    </row>
    <row r="14" ht="26" customHeight="1">
      <c r="A14" s="14" t="inlineStr">
        <is>
          <t>FR-WMS-02</t>
        </is>
      </c>
      <c r="B14" s="14" t="inlineStr">
        <is>
          <t>WMS Lite (DC)</t>
        </is>
      </c>
      <c r="C14" s="13" t="inlineStr">
        <is>
          <t>PDA Barcode Verification</t>
        </is>
      </c>
      <c r="D14" s="13" t="inlineStr">
        <is>
          <t>Warehouse pickers using Zebra PDAs shall scan bin barcode and SKU barcode with audible/tactile validation to prevent mis-picks.</t>
        </is>
      </c>
      <c r="E14" s="14" t="inlineStr">
        <is>
          <t>Must-Have</t>
        </is>
      </c>
      <c r="F14" s="14" t="inlineStr">
        <is>
          <t>Medium</t>
        </is>
      </c>
      <c r="G14" s="14" t="inlineStr">
        <is>
          <t>Sprint 5</t>
        </is>
      </c>
    </row>
    <row r="15" ht="26" customHeight="1">
      <c r="A15" s="12" t="inlineStr">
        <is>
          <t>FR-WMS-03</t>
        </is>
      </c>
      <c r="B15" s="12" t="inlineStr">
        <is>
          <t>WMS Lite (DC)</t>
        </is>
      </c>
      <c r="C15" s="11" t="inlineStr">
        <is>
          <t>Packing &amp; Weigh Scale API</t>
        </is>
      </c>
      <c r="D15" s="11" t="inlineStr">
        <is>
          <t>Packing station terminal shall integrate with USB digital scale to verify parcel weight against expected SKU weight tolerance.</t>
        </is>
      </c>
      <c r="E15" s="12" t="inlineStr">
        <is>
          <t>Should-Have</t>
        </is>
      </c>
      <c r="F15" s="12" t="inlineStr">
        <is>
          <t>Medium</t>
        </is>
      </c>
      <c r="G15" s="12" t="inlineStr">
        <is>
          <t>Sprint 6</t>
        </is>
      </c>
    </row>
    <row r="16" ht="26" customHeight="1">
      <c r="A16" s="14" t="inlineStr">
        <is>
          <t>FR-WMS-04</t>
        </is>
      </c>
      <c r="B16" s="14" t="inlineStr">
        <is>
          <t>WMS Lite (DC)</t>
        </is>
      </c>
      <c r="C16" s="13" t="inlineStr">
        <is>
          <t>Automated Label Printing</t>
        </is>
      </c>
      <c r="D16" s="13" t="inlineStr">
        <is>
          <t>System shall automatically print carrier thermal labels (ZPL format) upon final parcel carton sealing.</t>
        </is>
      </c>
      <c r="E16" s="14" t="inlineStr">
        <is>
          <t>Must-Have</t>
        </is>
      </c>
      <c r="F16" s="14" t="inlineStr">
        <is>
          <t>Medium</t>
        </is>
      </c>
      <c r="G16" s="14" t="inlineStr">
        <is>
          <t>Sprint 6</t>
        </is>
      </c>
    </row>
    <row r="17" ht="26" customHeight="1">
      <c r="A17" s="12" t="inlineStr">
        <is>
          <t>FR-STR-01</t>
        </is>
      </c>
      <c r="B17" s="12" t="inlineStr">
        <is>
          <t>Store Associate App</t>
        </is>
      </c>
      <c r="C17" s="11" t="inlineStr">
        <is>
          <t>Express Click &amp; Collect (BOPIS)</t>
        </is>
      </c>
      <c r="D17" s="11" t="inlineStr">
        <is>
          <t>Store associate app shall notify staff of new pickup orders, guide item retrieval in store, and trigger customer ready SMS.</t>
        </is>
      </c>
      <c r="E17" s="12" t="inlineStr">
        <is>
          <t>Must-Have</t>
        </is>
      </c>
      <c r="F17" s="12" t="inlineStr">
        <is>
          <t>High</t>
        </is>
      </c>
      <c r="G17" s="12" t="inlineStr">
        <is>
          <t>Sprint 7</t>
        </is>
      </c>
    </row>
    <row r="18" ht="26" customHeight="1">
      <c r="A18" s="14" t="inlineStr">
        <is>
          <t>FR-STR-02</t>
        </is>
      </c>
      <c r="B18" s="14" t="inlineStr">
        <is>
          <t>Store Associate App</t>
        </is>
      </c>
      <c r="C18" s="13" t="inlineStr">
        <is>
          <t>Fast Customer Pickup Handover</t>
        </is>
      </c>
      <c r="D18" s="13" t="inlineStr">
        <is>
          <t>Associate shall scan customer QR code at pickup counter to finalize handover and mark order collected within 15 seconds.</t>
        </is>
      </c>
      <c r="E18" s="14" t="inlineStr">
        <is>
          <t>Must-Have</t>
        </is>
      </c>
      <c r="F18" s="14" t="inlineStr">
        <is>
          <t>Medium</t>
        </is>
      </c>
      <c r="G18" s="14" t="inlineStr">
        <is>
          <t>Sprint 7</t>
        </is>
      </c>
    </row>
    <row r="19" ht="26" customHeight="1">
      <c r="A19" s="12" t="inlineStr">
        <is>
          <t>FR-STR-03</t>
        </is>
      </c>
      <c r="B19" s="12" t="inlineStr">
        <is>
          <t>Store Associate App</t>
        </is>
      </c>
      <c r="C19" s="11" t="inlineStr">
        <is>
          <t>Ship-from-Store Dispatch</t>
        </is>
      </c>
      <c r="D19" s="11" t="inlineStr">
        <is>
          <t>Store staff shall receive packing assignments for local courier delivery during store quiet hours, generating courier labels.</t>
        </is>
      </c>
      <c r="E19" s="12" t="inlineStr">
        <is>
          <t>Should-Have</t>
        </is>
      </c>
      <c r="F19" s="12" t="inlineStr">
        <is>
          <t>High</t>
        </is>
      </c>
      <c r="G19" s="12" t="inlineStr">
        <is>
          <t>Sprint 8</t>
        </is>
      </c>
    </row>
    <row r="20" ht="26" customHeight="1">
      <c r="A20" s="14" t="inlineStr">
        <is>
          <t>FR-LOG-01</t>
        </is>
      </c>
      <c r="B20" s="14" t="inlineStr">
        <is>
          <t>Carrier Logistics Hub</t>
        </is>
      </c>
      <c r="C20" s="13" t="inlineStr">
        <is>
          <t>Multi-Carrier Rate Shopping</t>
        </is>
      </c>
      <c r="D20" s="13" t="inlineStr">
        <is>
          <t>System shall query AusPost, StarTrack, and DHL Express APIs in parallel to select the cheapest carrier meeting delivery SLA.</t>
        </is>
      </c>
      <c r="E20" s="14" t="inlineStr">
        <is>
          <t>Should-Have</t>
        </is>
      </c>
      <c r="F20" s="14" t="inlineStr">
        <is>
          <t>Medium</t>
        </is>
      </c>
      <c r="G20" s="14" t="inlineStr">
        <is>
          <t>Sprint 8</t>
        </is>
      </c>
    </row>
    <row r="21" ht="26" customHeight="1">
      <c r="A21" s="12" t="inlineStr">
        <is>
          <t>FR-LOG-02</t>
        </is>
      </c>
      <c r="B21" s="12" t="inlineStr">
        <is>
          <t>Carrier Logistics Hub</t>
        </is>
      </c>
      <c r="C21" s="11" t="inlineStr">
        <is>
          <t>Unified Tracking Webhooks</t>
        </is>
      </c>
      <c r="D21" s="11" t="inlineStr">
        <is>
          <t>System shall normalize carrier milestone tracking events into unified customer-facing status updates via SMS and email.</t>
        </is>
      </c>
      <c r="E21" s="12" t="inlineStr">
        <is>
          <t>Must-Have</t>
        </is>
      </c>
      <c r="F21" s="12" t="inlineStr">
        <is>
          <t>Medium</t>
        </is>
      </c>
      <c r="G21" s="12" t="inlineStr">
        <is>
          <t>Sprint 9</t>
        </is>
      </c>
    </row>
    <row r="22" ht="26" customHeight="1">
      <c r="A22" s="14" t="inlineStr">
        <is>
          <t>FR-RPT-01</t>
        </is>
      </c>
      <c r="B22" s="14" t="inlineStr">
        <is>
          <t>Executive Analytics</t>
        </is>
      </c>
      <c r="C22" s="13" t="inlineStr">
        <is>
          <t>Live Fulfillment Operations Wallboard</t>
        </is>
      </c>
      <c r="D22" s="13" t="inlineStr">
        <is>
          <t>Executive web portal shall display live map of orders, regional stockout heatmaps, picking throughput, and courier SLA compliance.</t>
        </is>
      </c>
      <c r="E22" s="14" t="inlineStr">
        <is>
          <t>Must-Have</t>
        </is>
      </c>
      <c r="F22" s="14" t="inlineStr">
        <is>
          <t>Medium</t>
        </is>
      </c>
      <c r="G22" s="14" t="inlineStr">
        <is>
          <t>Sprint 9</t>
        </is>
      </c>
    </row>
    <row r="23" ht="26" customHeight="1">
      <c r="A23" s="12" t="inlineStr">
        <is>
          <t>FR-RPT-02</t>
        </is>
      </c>
      <c r="B23" s="12" t="inlineStr">
        <is>
          <t>Executive Analytics</t>
        </is>
      </c>
      <c r="C23" s="11" t="inlineStr">
        <is>
          <t>Overselling &amp; Discrepancy Reports</t>
        </is>
      </c>
      <c r="D23" s="11" t="inlineStr">
        <is>
          <t>System shall provide automated daily exception reports detailing cancelled orders, stockout causes, and discrepancy root cause.</t>
        </is>
      </c>
      <c r="E23" s="12" t="inlineStr">
        <is>
          <t>Should-Have</t>
        </is>
      </c>
      <c r="F23" s="12" t="inlineStr">
        <is>
          <t>Low</t>
        </is>
      </c>
      <c r="G23" s="12" t="inlineStr">
        <is>
          <t>Sprint 10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37" customWidth="1" min="2" max="2"/>
    <col width="12" customWidth="1" min="3" max="3"/>
    <col width="75" customWidth="1" min="4" max="4"/>
    <col width="33" customWidth="1" min="5" max="5"/>
    <col width="34" customWidth="1" min="6" max="6"/>
  </cols>
  <sheetData>
    <row r="1" ht="28" customHeight="1">
      <c r="A1" s="9" t="inlineStr">
        <is>
          <t>TECHNICAL ARCHITECTURE &amp; TECHNOLOGY STACK</t>
        </is>
      </c>
    </row>
    <row r="2" ht="18" customHeight="1">
      <c r="A2" s="2" t="inlineStr">
        <is>
          <t>Cloud-native, event-driven, high-throughput microservices architecture hosted on AWS Australia.</t>
        </is>
      </c>
    </row>
    <row r="3"/>
    <row r="4" ht="24" customHeight="1">
      <c r="A4" s="10" t="inlineStr">
        <is>
          <t>Architecture Tier</t>
        </is>
      </c>
      <c r="B4" s="10" t="inlineStr">
        <is>
          <t>Component / Framework</t>
        </is>
      </c>
      <c r="C4" s="10" t="inlineStr">
        <is>
          <t>Version</t>
        </is>
      </c>
      <c r="D4" s="10" t="inlineStr">
        <is>
          <t>Selection Rationale &amp; Technical Justification</t>
        </is>
      </c>
      <c r="E4" s="10" t="inlineStr">
        <is>
          <t>Licensing &amp; Hosting</t>
        </is>
      </c>
      <c r="F4" s="10" t="inlineStr">
        <is>
          <t>High Availability</t>
        </is>
      </c>
    </row>
    <row r="5" ht="28" customHeight="1">
      <c r="A5" s="12" t="inlineStr">
        <is>
          <t>Frontend Web Portal</t>
        </is>
      </c>
      <c r="B5" s="11" t="inlineStr">
        <is>
          <t>Next.js 15 (React 19, TypeScript)</t>
        </is>
      </c>
      <c r="C5" s="12" t="inlineStr">
        <is>
          <t>15.0+</t>
        </is>
      </c>
      <c r="D5" s="11" t="inlineStr">
        <is>
          <t>Server-Side Rendering (SSR) for fast initial loads, React Server Components for dashboards, built-in security headers.</t>
        </is>
      </c>
      <c r="E5" s="12" t="inlineStr">
        <is>
          <t>Open Source (MIT) / Vercel/AWS</t>
        </is>
      </c>
      <c r="F5" s="12" t="inlineStr">
        <is>
          <t>Multi-AZ CloudFront CDN</t>
        </is>
      </c>
    </row>
    <row r="6" ht="28" customHeight="1">
      <c r="A6" s="14" t="inlineStr">
        <is>
          <t>Mobile &amp; PDA Client</t>
        </is>
      </c>
      <c r="B6" s="13" t="inlineStr">
        <is>
          <t>Flutter 3.x (Dart)</t>
        </is>
      </c>
      <c r="C6" s="14" t="inlineStr">
        <is>
          <t>3.24+</t>
        </is>
      </c>
      <c r="D6" s="13" t="inlineStr">
        <is>
          <t>Single unified codebase compiling natively to Android (Zebra TC52 PDAs) and iOS (store manager iPhones). 60fps hardware scanning.</t>
        </is>
      </c>
      <c r="E6" s="14" t="inlineStr">
        <is>
          <t>Open Source (BSD) / Native</t>
        </is>
      </c>
      <c r="F6" s="14" t="inlineStr">
        <is>
          <t>Local SQLite offline cache</t>
        </is>
      </c>
    </row>
    <row r="7" ht="28" customHeight="1">
      <c r="A7" s="12" t="inlineStr">
        <is>
          <t>Core Backend API</t>
        </is>
      </c>
      <c r="B7" s="11" t="inlineStr">
        <is>
          <t>NestJS (Node.js Enterprise)</t>
        </is>
      </c>
      <c r="C7" s="12" t="inlineStr">
        <is>
          <t>10.4+</t>
        </is>
      </c>
      <c r="D7" s="11" t="inlineStr">
        <is>
          <t>Modular TypeScript framework, dependency injection, high developer velocity, native OpenAPI/Swagger generation.</t>
        </is>
      </c>
      <c r="E7" s="12" t="inlineStr">
        <is>
          <t>Open Source (MIT) / AWS EKS</t>
        </is>
      </c>
      <c r="F7" s="12" t="inlineStr">
        <is>
          <t>Auto-scaling Pods (3-15)</t>
        </is>
      </c>
    </row>
    <row r="8" ht="28" customHeight="1">
      <c r="A8" s="14" t="inlineStr">
        <is>
          <t>High-Speed Inventory Lock</t>
        </is>
      </c>
      <c r="B8" s="13" t="inlineStr">
        <is>
          <t>Go (Golang Microservice)</t>
        </is>
      </c>
      <c r="C8" s="14" t="inlineStr">
        <is>
          <t>1.23+</t>
        </is>
      </c>
      <c r="D8" s="13" t="inlineStr">
        <is>
          <t>Ultra-low memory footprint, goroutine concurrency handling 10,000+ lock leases/sec with sub-5ms response time.</t>
        </is>
      </c>
      <c r="E8" s="14" t="inlineStr">
        <is>
          <t>Open Source (BSD) / AWS EKS</t>
        </is>
      </c>
      <c r="F8" s="14" t="inlineStr">
        <is>
          <t>Horizontal Auto-scaler</t>
        </is>
      </c>
    </row>
    <row r="9" ht="28" customHeight="1">
      <c r="A9" s="12" t="inlineStr">
        <is>
          <t>Primary Database</t>
        </is>
      </c>
      <c r="B9" s="11" t="inlineStr">
        <is>
          <t>PostgreSQL (AWS Aurora)</t>
        </is>
      </c>
      <c r="C9" s="12" t="inlineStr">
        <is>
          <t>16.x</t>
        </is>
      </c>
      <c r="D9" s="11" t="inlineStr">
        <is>
          <t>ACID transactional compliance, JSONB document support for complex order manifests, read-replica scaling.</t>
        </is>
      </c>
      <c r="E9" s="12" t="inlineStr">
        <is>
          <t>AWS Managed Aurora PostgreSQL</t>
        </is>
      </c>
      <c r="F9" s="12" t="inlineStr">
        <is>
          <t>Multi-AZ Auto-Failover (&lt;30s)</t>
        </is>
      </c>
    </row>
    <row r="10" ht="28" customHeight="1">
      <c r="A10" s="14" t="inlineStr">
        <is>
          <t>Distributed Cache &amp; Locks</t>
        </is>
      </c>
      <c r="B10" s="13" t="inlineStr">
        <is>
          <t>Redis Enterprise (AWS ElastiCache)</t>
        </is>
      </c>
      <c r="C10" s="14" t="inlineStr">
        <is>
          <t>7.2+</t>
        </is>
      </c>
      <c r="D10" s="13" t="inlineStr">
        <is>
          <t>In-memory key-value caching, Redis distributed lock manager (Redlock algorithm) for stock reservation.</t>
        </is>
      </c>
      <c r="E10" s="14" t="inlineStr">
        <is>
          <t>AWS Managed ElastiCache</t>
        </is>
      </c>
      <c r="F10" s="14" t="inlineStr">
        <is>
          <t>Multi-AZ Cluster Mode</t>
        </is>
      </c>
    </row>
    <row r="11" ht="28" customHeight="1">
      <c r="A11" s="12" t="inlineStr">
        <is>
          <t>Search &amp; Analytics</t>
        </is>
      </c>
      <c r="B11" s="11" t="inlineStr">
        <is>
          <t>Elasticsearch (OpenSearch)</t>
        </is>
      </c>
      <c r="C11" s="12" t="inlineStr">
        <is>
          <t>2.14+</t>
        </is>
      </c>
      <c r="D11" s="11" t="inlineStr">
        <is>
          <t>Sub-50ms full-text search across 50,000 SKUs and historical orders; complex aggregation for dashboard.</t>
        </is>
      </c>
      <c r="E11" s="12" t="inlineStr">
        <is>
          <t>AWS OpenSearch Service</t>
        </is>
      </c>
      <c r="F11" s="12" t="inlineStr">
        <is>
          <t>3-Node Master/Data Cluster</t>
        </is>
      </c>
    </row>
    <row r="12" ht="28" customHeight="1">
      <c r="A12" s="14" t="inlineStr">
        <is>
          <t>Event Streaming &amp; Messaging</t>
        </is>
      </c>
      <c r="B12" s="13" t="inlineStr">
        <is>
          <t>Apache Kafka (AWS MSK) / RabbitMQ</t>
        </is>
      </c>
      <c r="C12" s="14" t="inlineStr">
        <is>
          <t>3.7+</t>
        </is>
      </c>
      <c r="D12" s="13" t="inlineStr">
        <is>
          <t>Decoupled asynchronous event pipeline for order events (OrderCreated, StockDeducted, LabelGenerated).</t>
        </is>
      </c>
      <c r="E12" s="14" t="inlineStr">
        <is>
          <t>AWS Managed Streaming Kafka</t>
        </is>
      </c>
      <c r="F12" s="14" t="inlineStr">
        <is>
          <t>Multi-AZ Topic Replication</t>
        </is>
      </c>
    </row>
    <row r="13" ht="28" customHeight="1">
      <c r="A13" s="12" t="inlineStr">
        <is>
          <t>Cloud Infrastructure</t>
        </is>
      </c>
      <c r="B13" s="11" t="inlineStr">
        <is>
          <t>AWS (Sydney ap-southeast-2)</t>
        </is>
      </c>
      <c r="C13" s="12" t="inlineStr">
        <is>
          <t>N/A</t>
        </is>
      </c>
      <c r="D13" s="11" t="inlineStr">
        <is>
          <t>Complies with Australian Data Sovereignty; low latency (&lt; 15ms) to physical stores across Sydney &amp; Melbourne.</t>
        </is>
      </c>
      <c r="E13" s="12" t="inlineStr">
        <is>
          <t>AWS Cloud Enterprise</t>
        </is>
      </c>
      <c r="F13" s="12" t="inlineStr">
        <is>
          <t>Multi-AZ (3 Availability Zones)</t>
        </is>
      </c>
    </row>
    <row r="14" ht="28" customHeight="1">
      <c r="A14" s="14" t="inlineStr">
        <is>
          <t>DevOps &amp; Orchestration</t>
        </is>
      </c>
      <c r="B14" s="13" t="inlineStr">
        <is>
          <t>Terraform &amp; GitHub Actions</t>
        </is>
      </c>
      <c r="C14" s="14" t="inlineStr">
        <is>
          <t>1.9+</t>
        </is>
      </c>
      <c r="D14" s="13" t="inlineStr">
        <is>
          <t>100% Infrastructure-as-Code (IaC) reproducible environments; automated blue/green zero-downtime deployment.</t>
        </is>
      </c>
      <c r="E14" s="14" t="inlineStr">
        <is>
          <t>Open Source / GitHub SaaS</t>
        </is>
      </c>
      <c r="F14" s="14" t="inlineStr">
        <is>
          <t>Redundant CI Runners</t>
        </is>
      </c>
    </row>
    <row r="15" ht="28" customHeight="1">
      <c r="A15" s="12" t="inlineStr">
        <is>
          <t>API Security &amp; Identity</t>
        </is>
      </c>
      <c r="B15" s="11" t="inlineStr">
        <is>
          <t>Keycloak / AWS Cognito &amp; OAuth2</t>
        </is>
      </c>
      <c r="C15" s="12" t="inlineStr">
        <is>
          <t>24.x</t>
        </is>
      </c>
      <c r="D15" s="11" t="inlineStr">
        <is>
          <t>Role-Based Access Control (RBAC), OpenID Connect, JWT token expiration with refresh rotation, MFA for managers.</t>
        </is>
      </c>
      <c r="E15" s="12" t="inlineStr">
        <is>
          <t>Open Source / AWS</t>
        </is>
      </c>
      <c r="F15" s="12" t="inlineStr">
        <is>
          <t>Redundant Auth Servers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6" customWidth="1" min="2" max="2"/>
    <col width="75" customWidth="1" min="3" max="3"/>
    <col width="68" customWidth="1" min="4" max="4"/>
    <col width="75" customWidth="1" min="5" max="5"/>
    <col width="24" customWidth="1" min="6" max="6"/>
  </cols>
  <sheetData>
    <row r="1" ht="28" customHeight="1">
      <c r="A1" s="9" t="inlineStr">
        <is>
          <t>NON-FUNCTIONAL REQUIREMENTS (NFR) &amp; ARCHITECTURAL BASELINE</t>
        </is>
      </c>
    </row>
    <row r="2" ht="18" customHeight="1">
      <c r="A2" s="2" t="inlineStr">
        <is>
          <t>Performance SLAs, system availability, data security, scalability, and disaster recovery standards.</t>
        </is>
      </c>
    </row>
    <row r="3"/>
    <row r="4" ht="24" customHeight="1">
      <c r="A4" s="10" t="inlineStr">
        <is>
          <t>NFR ID</t>
        </is>
      </c>
      <c r="B4" s="10" t="inlineStr">
        <is>
          <t>Quality Attribute</t>
        </is>
      </c>
      <c r="C4" s="10" t="inlineStr">
        <is>
          <t>Target Metric / Specification</t>
        </is>
      </c>
      <c r="D4" s="10" t="inlineStr">
        <is>
          <t>Measurement Methodology</t>
        </is>
      </c>
      <c r="E4" s="10" t="inlineStr">
        <is>
          <t>Architecture Enforcement Mechanism</t>
        </is>
      </c>
      <c r="F4" s="10" t="inlineStr">
        <is>
          <t>Verification Phase</t>
        </is>
      </c>
    </row>
    <row r="5" ht="28" customHeight="1">
      <c r="A5" s="12" t="inlineStr">
        <is>
          <t>NFR-PERF-01</t>
        </is>
      </c>
      <c r="B5" s="12" t="inlineStr">
        <is>
          <t>API Response Latency</t>
        </is>
      </c>
      <c r="C5" s="11" t="inlineStr">
        <is>
          <t>P95 response time &lt; 200ms; P99 response time &lt; 500ms under standard operational load.</t>
        </is>
      </c>
      <c r="D5" s="11" t="inlineStr">
        <is>
          <t>Automated k6 load test simulating 1,500 requests/sec.</t>
        </is>
      </c>
      <c r="E5" s="11" t="inlineStr">
        <is>
          <t>Redis caching, Aurora DB indexing, lightweight Go microservice for inventory.</t>
        </is>
      </c>
      <c r="F5" s="12" t="inlineStr">
        <is>
          <t>Sprint 11 (Load Test)</t>
        </is>
      </c>
    </row>
    <row r="6" ht="28" customHeight="1">
      <c r="A6" s="14" t="inlineStr">
        <is>
          <t>NFR-PERF-02</t>
        </is>
      </c>
      <c r="B6" s="14" t="inlineStr">
        <is>
          <t>Throughput Scalability</t>
        </is>
      </c>
      <c r="C6" s="13" t="inlineStr">
        <is>
          <t>Support 500 peak transactions per second (TPS) during Flash Sale / Black Friday peaks.</t>
        </is>
      </c>
      <c r="D6" s="13" t="inlineStr">
        <is>
          <t>Distributed load test simulating 35,000 orders over 1-hour burst.</t>
        </is>
      </c>
      <c r="E6" s="13" t="inlineStr">
        <is>
          <t>AWS EKS Horizontal Pod Autoscaler (HPA) and SQS/Kafka decoupling.</t>
        </is>
      </c>
      <c r="F6" s="14" t="inlineStr">
        <is>
          <t>Sprint 11 (Load Test)</t>
        </is>
      </c>
    </row>
    <row r="7" ht="28" customHeight="1">
      <c r="A7" s="12" t="inlineStr">
        <is>
          <t>NFR-AVAIL-01</t>
        </is>
      </c>
      <c r="B7" s="12" t="inlineStr">
        <is>
          <t>System Availability</t>
        </is>
      </c>
      <c r="C7" s="11" t="inlineStr">
        <is>
          <t>99.95% uptime availability (&lt;= 21.6 minutes unscheduled downtime per calendar month).</t>
        </is>
      </c>
      <c r="D7" s="11" t="inlineStr">
        <is>
          <t>Datadog synthetic uptime monitoring from 5 global locations.</t>
        </is>
      </c>
      <c r="E7" s="11" t="inlineStr">
        <is>
          <t>Multi-AZ AWS deployment with active health-check auto-healing pods.</t>
        </is>
      </c>
      <c r="F7" s="12" t="inlineStr">
        <is>
          <t>Production Go-Live</t>
        </is>
      </c>
    </row>
    <row r="8" ht="28" customHeight="1">
      <c r="A8" s="14" t="inlineStr">
        <is>
          <t>NFR-SEC-01</t>
        </is>
      </c>
      <c r="B8" s="14" t="inlineStr">
        <is>
          <t>Data Encryption</t>
        </is>
      </c>
      <c r="C8" s="13" t="inlineStr">
        <is>
          <t>AES-256 encryption at rest for all databases/backups; TLS 1.3 in transit with HSTS enforced.</t>
        </is>
      </c>
      <c r="D8" s="13" t="inlineStr">
        <is>
          <t>AWS Security Hub automated compliance audit scan.</t>
        </is>
      </c>
      <c r="E8" s="13" t="inlineStr">
        <is>
          <t>AWS KMS managed customer master keys (CMK) and SSL certificates.</t>
        </is>
      </c>
      <c r="F8" s="14" t="inlineStr">
        <is>
          <t>Sprint 10 (Security)</t>
        </is>
      </c>
    </row>
    <row r="9" ht="28" customHeight="1">
      <c r="A9" s="12" t="inlineStr">
        <is>
          <t>NFR-SEC-02</t>
        </is>
      </c>
      <c r="B9" s="12" t="inlineStr">
        <is>
          <t>Authentication &amp; Access</t>
        </is>
      </c>
      <c r="C9" s="11" t="inlineStr">
        <is>
          <t>Role-Based Access Control (RBAC) with OAuth2 / JWT; Multi-Factor Authentication (MFA) for Admin.</t>
        </is>
      </c>
      <c r="D9" s="11" t="inlineStr">
        <is>
          <t>Penetration test report by CREST-certified security auditor.</t>
        </is>
      </c>
      <c r="E9" s="11" t="inlineStr">
        <is>
          <t>Strict Spring/NestJS guard middleware and Keycloak policy enforcement.</t>
        </is>
      </c>
      <c r="F9" s="12" t="inlineStr">
        <is>
          <t>Sprint 11 (Pentest)</t>
        </is>
      </c>
    </row>
    <row r="10" ht="28" customHeight="1">
      <c r="A10" s="14" t="inlineStr">
        <is>
          <t>NFR-SEC-03</t>
        </is>
      </c>
      <c r="B10" s="14" t="inlineStr">
        <is>
          <t>Compliance Sovereignty</t>
        </is>
      </c>
      <c r="C10" s="13" t="inlineStr">
        <is>
          <t>All customer Personally Identifiable Information (PII) hosted in Australia (ap-southeast-2).</t>
        </is>
      </c>
      <c r="D10" s="13" t="inlineStr">
        <is>
          <t>Independent cloud architecture data residency audit.</t>
        </is>
      </c>
      <c r="E10" s="13" t="inlineStr">
        <is>
          <t>AWS IAM geographical SCP policies preventing non-Australian region spins.</t>
        </is>
      </c>
      <c r="F10" s="14" t="inlineStr">
        <is>
          <t>Sprint 10 (Security)</t>
        </is>
      </c>
    </row>
    <row r="11" ht="28" customHeight="1">
      <c r="A11" s="12" t="inlineStr">
        <is>
          <t>NFR-DR-01</t>
        </is>
      </c>
      <c r="B11" s="12" t="inlineStr">
        <is>
          <t>Disaster Recovery (RPO)</t>
        </is>
      </c>
      <c r="C11" s="11" t="inlineStr">
        <is>
          <t>Recovery Point Objective (RPO) &lt; 5 minutes (maximum 5 minutes of transactional data loss).</t>
        </is>
      </c>
      <c r="D11" s="11" t="inlineStr">
        <is>
          <t>Quarterly disaster recovery tabletop simulation drill.</t>
        </is>
      </c>
      <c r="E11" s="11" t="inlineStr">
        <is>
          <t>Aurora continuous incremental storage backup and S3 cross-region sync.</t>
        </is>
      </c>
      <c r="F11" s="12" t="inlineStr">
        <is>
          <t>Pre-Go-Live Drill</t>
        </is>
      </c>
    </row>
    <row r="12" ht="28" customHeight="1">
      <c r="A12" s="14" t="inlineStr">
        <is>
          <t>NFR-DR-02</t>
        </is>
      </c>
      <c r="B12" s="14" t="inlineStr">
        <is>
          <t>Disaster Recovery (RTO)</t>
        </is>
      </c>
      <c r="C12" s="13" t="inlineStr">
        <is>
          <t>Recovery Time Objective (RTO) &lt; 30 minutes to restore full transactional capabilities.</t>
        </is>
      </c>
      <c r="D12" s="13" t="inlineStr">
        <is>
          <t>Automated Terraform failover spin-up verification test.</t>
        </is>
      </c>
      <c r="E12" s="13" t="inlineStr">
        <is>
          <t>Infrastructure-as-Code Terraform deployment scripts stored in GitHub.</t>
        </is>
      </c>
      <c r="F12" s="14" t="inlineStr">
        <is>
          <t>Pre-Go-Live Drill</t>
        </is>
      </c>
    </row>
    <row r="13" ht="28" customHeight="1">
      <c r="A13" s="12" t="inlineStr">
        <is>
          <t>NFR-OBS-01</t>
        </is>
      </c>
      <c r="B13" s="12" t="inlineStr">
        <is>
          <t>Observability &amp; Tracing</t>
        </is>
      </c>
      <c r="C13" s="11" t="inlineStr">
        <is>
          <t>100% distributed trace capture for order lifecycle with centralized log retention (365 days).</t>
        </is>
      </c>
      <c r="D13" s="11" t="inlineStr">
        <is>
          <t>OpenTelemetry distributed trace sampling verification.</t>
        </is>
      </c>
      <c r="E13" s="11" t="inlineStr">
        <is>
          <t>Datadog APM / AWS CloudWatch Logs with automated P1 Slack alerting.</t>
        </is>
      </c>
      <c r="F13" s="12" t="inlineStr">
        <is>
          <t>Sprint 9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18" customWidth="1" min="2" max="2"/>
    <col width="20" customWidth="1" min="3" max="3"/>
    <col width="19" customWidth="1" min="4" max="4"/>
    <col width="20" customWidth="1" min="5" max="5"/>
    <col width="75" customWidth="1" min="6" max="6"/>
  </cols>
  <sheetData>
    <row r="1" ht="28" customHeight="1">
      <c r="A1" s="9" t="inlineStr">
        <is>
          <t>STANDARD PROFESSIONAL SERVICES RATE CARD</t>
        </is>
      </c>
    </row>
    <row r="2" ht="18" customHeight="1">
      <c r="A2" s="2" t="inlineStr">
        <is>
          <t>Standard hourly and daily rates by seniority and role. Currency: USD (ex GST/Tax). Standard day = 8 productive hours.</t>
        </is>
      </c>
    </row>
    <row r="3"/>
    <row r="4" ht="24" customHeight="1">
      <c r="A4" s="10" t="inlineStr">
        <is>
          <t>Role Title</t>
        </is>
      </c>
      <c r="B4" s="10" t="inlineStr">
        <is>
          <t>Seniority Level</t>
        </is>
      </c>
      <c r="C4" s="10" t="inlineStr">
        <is>
          <t>Hourly Rate (USD)</t>
        </is>
      </c>
      <c r="D4" s="10" t="inlineStr">
        <is>
          <t>Daily Rate (USD)</t>
        </is>
      </c>
      <c r="E4" s="10" t="inlineStr">
        <is>
          <t>Weekly Rate (USD)</t>
        </is>
      </c>
      <c r="F4" s="10" t="inlineStr">
        <is>
          <t>Typical Experience Profile</t>
        </is>
      </c>
    </row>
    <row r="5" ht="24" customHeight="1">
      <c r="A5" s="11" t="inlineStr">
        <is>
          <t>Solution Architect</t>
        </is>
      </c>
      <c r="B5" s="16" t="inlineStr">
        <is>
          <t>Principal</t>
        </is>
      </c>
      <c r="C5" s="18" t="n">
        <v>87.5</v>
      </c>
      <c r="D5" s="18" t="n">
        <v>700</v>
      </c>
      <c r="E5" s="18" t="n">
        <v>3500</v>
      </c>
      <c r="F5" s="11" t="inlineStr">
        <is>
          <t>12+ years enterprise software architecture, cloud certification (AWS Pro)</t>
        </is>
      </c>
    </row>
    <row r="6" ht="24" customHeight="1">
      <c r="A6" s="13" t="inlineStr">
        <is>
          <t>Project Manager / Scrum Master</t>
        </is>
      </c>
      <c r="B6" s="17" t="inlineStr">
        <is>
          <t>Senior</t>
        </is>
      </c>
      <c r="C6" s="19" t="n">
        <v>68.75</v>
      </c>
      <c r="D6" s="19" t="n">
        <v>550</v>
      </c>
      <c r="E6" s="19" t="n">
        <v>2750</v>
      </c>
      <c r="F6" s="13" t="inlineStr">
        <is>
          <t>8+ years managing Agile software projects, PMP / PMI-ACP certified</t>
        </is>
      </c>
    </row>
    <row r="7" ht="24" customHeight="1">
      <c r="A7" s="11" t="inlineStr">
        <is>
          <t>Technical Lead</t>
        </is>
      </c>
      <c r="B7" s="16" t="inlineStr">
        <is>
          <t>Lead</t>
        </is>
      </c>
      <c r="C7" s="18" t="n">
        <v>75</v>
      </c>
      <c r="D7" s="18" t="n">
        <v>600</v>
      </c>
      <c r="E7" s="18" t="n">
        <v>3000</v>
      </c>
      <c r="F7" s="11" t="inlineStr">
        <is>
          <t>10+ years backend &amp; distributed systems, architecture governance</t>
        </is>
      </c>
    </row>
    <row r="8" ht="24" customHeight="1">
      <c r="A8" s="13" t="inlineStr">
        <is>
          <t>Senior Backend Engineer</t>
        </is>
      </c>
      <c r="B8" s="17" t="inlineStr">
        <is>
          <t>Senior</t>
        </is>
      </c>
      <c r="C8" s="19" t="n">
        <v>60</v>
      </c>
      <c r="D8" s="19" t="n">
        <v>480</v>
      </c>
      <c r="E8" s="19" t="n">
        <v>2400</v>
      </c>
      <c r="F8" s="13" t="inlineStr">
        <is>
          <t>6+ years Node.js, Go, PostgreSQL, high-throughput microservices</t>
        </is>
      </c>
    </row>
    <row r="9" ht="24" customHeight="1">
      <c r="A9" s="11" t="inlineStr">
        <is>
          <t>Senior Frontend Engineer</t>
        </is>
      </c>
      <c r="B9" s="16" t="inlineStr">
        <is>
          <t>Senior</t>
        </is>
      </c>
      <c r="C9" s="18" t="n">
        <v>57.5</v>
      </c>
      <c r="D9" s="18" t="n">
        <v>460</v>
      </c>
      <c r="E9" s="18" t="n">
        <v>2300</v>
      </c>
      <c r="F9" s="11" t="inlineStr">
        <is>
          <t>6+ years React, Next.js, modern CSS, enterprise dashboard UX</t>
        </is>
      </c>
    </row>
    <row r="10" ht="24" customHeight="1">
      <c r="A10" s="13" t="inlineStr">
        <is>
          <t>Senior Mobile / PDA Engineer</t>
        </is>
      </c>
      <c r="B10" s="17" t="inlineStr">
        <is>
          <t>Senior</t>
        </is>
      </c>
      <c r="C10" s="19" t="n">
        <v>60</v>
      </c>
      <c r="D10" s="19" t="n">
        <v>480</v>
      </c>
      <c r="E10" s="19" t="n">
        <v>2400</v>
      </c>
      <c r="F10" s="13" t="inlineStr">
        <is>
          <t>6+ years Flutter/Android, hardware barcode integration (Zebra EMDK)</t>
        </is>
      </c>
    </row>
    <row r="11" ht="24" customHeight="1">
      <c r="A11" s="11" t="inlineStr">
        <is>
          <t>QA / Automation Test Lead</t>
        </is>
      </c>
      <c r="B11" s="16" t="inlineStr">
        <is>
          <t>Senior</t>
        </is>
      </c>
      <c r="C11" s="18" t="n">
        <v>50</v>
      </c>
      <c r="D11" s="18" t="n">
        <v>400</v>
      </c>
      <c r="E11" s="18" t="n">
        <v>2000</v>
      </c>
      <c r="F11" s="11" t="inlineStr">
        <is>
          <t>7+ years test automation, Cypress, Postman, performance k6 testing</t>
        </is>
      </c>
    </row>
    <row r="12" ht="24" customHeight="1">
      <c r="A12" s="13" t="inlineStr">
        <is>
          <t>UI/UX Product Designer</t>
        </is>
      </c>
      <c r="B12" s="17" t="inlineStr">
        <is>
          <t>Senior</t>
        </is>
      </c>
      <c r="C12" s="19" t="n">
        <v>52.5</v>
      </c>
      <c r="D12" s="19" t="n">
        <v>420</v>
      </c>
      <c r="E12" s="19" t="n">
        <v>2100</v>
      </c>
      <c r="F12" s="13" t="inlineStr">
        <is>
          <t>7+ years design systems, mobile ergonomics, retail workflow design</t>
        </is>
      </c>
    </row>
    <row r="13" ht="24" customHeight="1">
      <c r="A13" s="11" t="inlineStr">
        <is>
          <t>DevOps / Cloud Engineer</t>
        </is>
      </c>
      <c r="B13" s="16" t="inlineStr">
        <is>
          <t>Senior</t>
        </is>
      </c>
      <c r="C13" s="18" t="n">
        <v>65</v>
      </c>
      <c r="D13" s="18" t="n">
        <v>520</v>
      </c>
      <c r="E13" s="18" t="n">
        <v>2600</v>
      </c>
      <c r="F13" s="11" t="inlineStr">
        <is>
          <t>6+ years AWS, Kubernetes (EKS), Terraform, CI/CD pipeline automation</t>
        </is>
      </c>
    </row>
    <row r="14" ht="24" customHeight="1">
      <c r="A14" s="13" t="inlineStr">
        <is>
          <t>Business Analyst</t>
        </is>
      </c>
      <c r="B14" s="17" t="inlineStr">
        <is>
          <t>Senior</t>
        </is>
      </c>
      <c r="C14" s="19" t="n">
        <v>55</v>
      </c>
      <c r="D14" s="19" t="n">
        <v>440</v>
      </c>
      <c r="E14" s="19" t="n">
        <v>2200</v>
      </c>
      <c r="F14" s="13" t="inlineStr">
        <is>
          <t>6+ years retail supply chain, functional requirement specification</t>
        </is>
      </c>
    </row>
    <row r="15" ht="24" customHeight="1">
      <c r="A15" s="11" t="inlineStr">
        <is>
          <t>Mid-Level Software Engineer</t>
        </is>
      </c>
      <c r="B15" s="16" t="inlineStr">
        <is>
          <t>Mid</t>
        </is>
      </c>
      <c r="C15" s="18" t="n">
        <v>42.5</v>
      </c>
      <c r="D15" s="18" t="n">
        <v>340</v>
      </c>
      <c r="E15" s="18" t="n">
        <v>1700</v>
      </c>
      <c r="F15" s="11" t="inlineStr">
        <is>
          <t>3-5 years full-stack development, API integration, unit testing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60" customWidth="1" min="2" max="2"/>
    <col width="16" customWidth="1" min="3" max="3"/>
    <col width="20" customWidth="1" min="4" max="4"/>
    <col width="75" customWidth="1" min="5" max="5"/>
    <col width="75" customWidth="1" min="6" max="6"/>
    <col width="25" customWidth="1" min="7" max="7"/>
  </cols>
  <sheetData>
    <row r="1" ht="28" customHeight="1">
      <c r="A1" s="9" t="inlineStr">
        <is>
          <t>MACRO IMPLEMENTATION PLAN &amp; DETAILED COMMERCIAL QUOTATION</t>
        </is>
      </c>
    </row>
    <row r="2" ht="18" customHeight="1">
      <c r="A2" s="2" t="inlineStr">
        <is>
          <t>Phased timeline breakdown, Work Breakdown Structure (WBS), Quotation summary, and Milestone Payment Gates.</t>
        </is>
      </c>
    </row>
    <row r="3"/>
    <row r="4" ht="24" customHeight="1">
      <c r="A4" s="3" t="inlineStr">
        <is>
          <t>1. PHASED MACRO ROADMAP &amp; DELIVERABLE MILESTONES (24 WEEKS / 12 SPRINTS)</t>
        </is>
      </c>
    </row>
    <row r="5" ht="24" customHeight="1">
      <c r="A5" s="10" t="inlineStr">
        <is>
          <t>Phase #</t>
        </is>
      </c>
      <c r="B5" s="10" t="inlineStr">
        <is>
          <t>Phase Name &amp; Objective</t>
        </is>
      </c>
      <c r="C5" s="10" t="inlineStr">
        <is>
          <t>Start (Wk)</t>
        </is>
      </c>
      <c r="D5" s="10" t="inlineStr">
        <is>
          <t>Duration</t>
        </is>
      </c>
      <c r="E5" s="10" t="inlineStr">
        <is>
          <t>Key Activities &amp; Milestones</t>
        </is>
      </c>
      <c r="F5" s="10" t="inlineStr">
        <is>
          <t>Primary Deliverables</t>
        </is>
      </c>
      <c r="G5" s="10" t="inlineStr">
        <is>
          <t>Gate Sign-off</t>
        </is>
      </c>
    </row>
    <row r="6" ht="30" customHeight="1">
      <c r="A6" s="14" t="inlineStr">
        <is>
          <t>Phase 1</t>
        </is>
      </c>
      <c r="B6" s="13" t="inlineStr">
        <is>
          <t>Inception, Architecture &amp; UX Design</t>
        </is>
      </c>
      <c r="C6" s="14" t="inlineStr">
        <is>
          <t>Week 1</t>
        </is>
      </c>
      <c r="D6" s="14" t="inlineStr">
        <is>
          <t>3 Weeks</t>
        </is>
      </c>
      <c r="E6" s="13" t="inlineStr">
        <is>
          <t>Discovery workshops, architecture blueprint, DB schema design, Zebra PDA ergonomic UI prototypes, AWS environment setup.</t>
        </is>
      </c>
      <c r="F6" s="13" t="inlineStr">
        <is>
          <t>Solution Architecture Document, Interactive Figma Prototype, Sprint Backlog</t>
        </is>
      </c>
      <c r="G6" s="14" t="inlineStr">
        <is>
          <t>Milestone 1 Sign-off</t>
        </is>
      </c>
    </row>
    <row r="7" ht="30" customHeight="1">
      <c r="A7" s="12" t="inlineStr">
        <is>
          <t>Phase 2</t>
        </is>
      </c>
      <c r="B7" s="11" t="inlineStr">
        <is>
          <t>Core OMS &amp; Inventory Ledger Engine</t>
        </is>
      </c>
      <c r="C7" s="12" t="inlineStr">
        <is>
          <t>Week 4</t>
        </is>
      </c>
      <c r="D7" s="12" t="inlineStr">
        <is>
          <t>8 Weeks</t>
        </is>
      </c>
      <c r="E7" s="11" t="inlineStr">
        <is>
          <t>Develop sub-second inventory engine, Shopify Plus webhooks, Redis reservation locks, SAP OData reconciliation, core routing engine.</t>
        </is>
      </c>
      <c r="F7" s="11" t="inlineStr">
        <is>
          <t>OMS Core Services in Staging, Automated API Test Suite, Inventory Lock Engine Demo</t>
        </is>
      </c>
      <c r="G7" s="12" t="inlineStr">
        <is>
          <t>Milestone 2 Sign-off</t>
        </is>
      </c>
    </row>
    <row r="8" ht="30" customHeight="1">
      <c r="A8" s="14" t="inlineStr">
        <is>
          <t>Phase 3</t>
        </is>
      </c>
      <c r="B8" s="13" t="inlineStr">
        <is>
          <t>WMS Lite, Store App &amp; Courier Hub</t>
        </is>
      </c>
      <c r="C8" s="14" t="inlineStr">
        <is>
          <t>Week 12</t>
        </is>
      </c>
      <c r="D8" s="14" t="inlineStr">
        <is>
          <t>7 Weeks</t>
        </is>
      </c>
      <c r="E8" s="13" t="inlineStr">
        <is>
          <t>Develop Zebra PDA scanner wave picking app, store Click &amp; Collect associate app, carrier rating &amp; ZPL thermal label printer integration.</t>
        </is>
      </c>
      <c r="F8" s="13" t="inlineStr">
        <is>
          <t>Android PDA Build, Store Associate App, Courier Hub Connector Suite</t>
        </is>
      </c>
      <c r="G8" s="14" t="inlineStr">
        <is>
          <t>Milestone 3 Sign-off</t>
        </is>
      </c>
    </row>
    <row r="9" ht="30" customHeight="1">
      <c r="A9" s="12" t="inlineStr">
        <is>
          <t>Phase 4</t>
        </is>
      </c>
      <c r="B9" s="11" t="inlineStr">
        <is>
          <t>System Integration, UAT &amp; Pentest</t>
        </is>
      </c>
      <c r="C9" s="12" t="inlineStr">
        <is>
          <t>Week 19</t>
        </is>
      </c>
      <c r="D9" s="12" t="inlineStr">
        <is>
          <t>3 Weeks</t>
        </is>
      </c>
      <c r="E9" s="11" t="inlineStr">
        <is>
          <t>End-to-end integration testing, business user UAT in simulated store/DC, k6 load testing (500 TPS), independent CREST security pentest.</t>
        </is>
      </c>
      <c r="F9" s="11" t="inlineStr">
        <is>
          <t>UAT Acceptance Certificate, Penetration Test Report, Load Test Benchmark Report</t>
        </is>
      </c>
      <c r="G9" s="12" t="inlineStr">
        <is>
          <t>Milestone 4 Sign-off</t>
        </is>
      </c>
    </row>
    <row r="10" ht="30" customHeight="1">
      <c r="A10" s="14" t="inlineStr">
        <is>
          <t>Phase 5</t>
        </is>
      </c>
      <c r="B10" s="13" t="inlineStr">
        <is>
          <t>Production Pilot, Rollout &amp; Hypercare</t>
        </is>
      </c>
      <c r="C10" s="14" t="inlineStr">
        <is>
          <t>Week 22</t>
        </is>
      </c>
      <c r="D10" s="14" t="inlineStr">
        <is>
          <t>3 Weeks</t>
        </is>
      </c>
      <c r="E10" s="13" t="inlineStr">
        <is>
          <t>Production deployment on AWS EKS, Pilot go-live across Sydney DC &amp; 10 flagship stores, staff training, 24/7 on-site hypercare.</t>
        </is>
      </c>
      <c r="F10" s="13" t="inlineStr">
        <is>
          <t>Production Handover Runbook, Staff Training Material, Final Acceptance Certificate</t>
        </is>
      </c>
      <c r="G10" s="14" t="inlineStr">
        <is>
          <t>Final Milestone 5 Gate</t>
        </is>
      </c>
    </row>
    <row r="11"/>
    <row r="12" ht="24" customHeight="1">
      <c r="A12" s="3" t="inlineStr">
        <is>
          <t>2. WORK BREAKDOWN STRUCTURE (WBS) &amp; EFFORT ESTIMATION</t>
        </is>
      </c>
    </row>
    <row r="13" ht="24" customHeight="1">
      <c r="A13" s="10" t="inlineStr">
        <is>
          <t>WBS ID</t>
        </is>
      </c>
      <c r="B13" s="10" t="inlineStr">
        <is>
          <t>Deliverable Component</t>
        </is>
      </c>
      <c r="C13" s="10" t="inlineStr">
        <is>
          <t>Est. Man-Days</t>
        </is>
      </c>
      <c r="D13" s="10" t="inlineStr">
        <is>
          <t>Blended Day Rate</t>
        </is>
      </c>
      <c r="E13" s="10" t="inlineStr">
        <is>
          <t>Subtotal (USD)</t>
        </is>
      </c>
      <c r="F13" s="10" t="inlineStr">
        <is>
          <t>Resource Composition</t>
        </is>
      </c>
      <c r="G13" s="10" t="inlineStr">
        <is>
          <t>Billing Type</t>
        </is>
      </c>
    </row>
    <row r="14" ht="24" customHeight="1">
      <c r="A14" s="17" t="inlineStr">
        <is>
          <t>WBS-01</t>
        </is>
      </c>
      <c r="B14" s="13" t="inlineStr">
        <is>
          <t>Phase 1: Architecture, Inception &amp; UI/UX Prototypes</t>
        </is>
      </c>
      <c r="C14" s="17" t="n">
        <v>45</v>
      </c>
      <c r="D14" s="19" t="n">
        <v>633.33</v>
      </c>
      <c r="E14" s="19" t="n">
        <v>28500</v>
      </c>
      <c r="F14" s="13" t="inlineStr">
        <is>
          <t>SA (12d), PM (8d), TL (10d), UI/UX (15d)</t>
        </is>
      </c>
      <c r="G14" s="17" t="inlineStr">
        <is>
          <t>Fixed Milestone</t>
        </is>
      </c>
    </row>
    <row r="15" ht="24" customHeight="1">
      <c r="A15" s="16" t="inlineStr">
        <is>
          <t>WBS-02</t>
        </is>
      </c>
      <c r="B15" s="11" t="inlineStr">
        <is>
          <t>Phase 2: Core OMS, Inventory Ledger &amp; SAP/Shopify Sync</t>
        </is>
      </c>
      <c r="C15" s="16" t="n">
        <v>140</v>
      </c>
      <c r="D15" s="18" t="n">
        <v>520</v>
      </c>
      <c r="E15" s="18" t="n">
        <v>72800</v>
      </c>
      <c r="F15" s="11" t="inlineStr">
        <is>
          <t>Backend (60d), Tech Lead (30d), PM (20d), QA (20d), DevOps (10d)</t>
        </is>
      </c>
      <c r="G15" s="16" t="inlineStr">
        <is>
          <t>Fixed Milestone</t>
        </is>
      </c>
    </row>
    <row r="16" ht="24" customHeight="1">
      <c r="A16" s="17" t="inlineStr">
        <is>
          <t>WBS-03</t>
        </is>
      </c>
      <c r="B16" s="13" t="inlineStr">
        <is>
          <t>Phase 3: WMS Scanner App, Store BOPIS App &amp; Logistics Hub</t>
        </is>
      </c>
      <c r="C16" s="17" t="n">
        <v>110</v>
      </c>
      <c r="D16" s="19" t="n">
        <v>496.36</v>
      </c>
      <c r="E16" s="19" t="n">
        <v>54600</v>
      </c>
      <c r="F16" s="13" t="inlineStr">
        <is>
          <t>Mobile (40d), Frontend (30d), Backend (20d), QA (20d)</t>
        </is>
      </c>
      <c r="G16" s="17" t="inlineStr">
        <is>
          <t>Fixed Milestone</t>
        </is>
      </c>
    </row>
    <row r="17" ht="24" customHeight="1">
      <c r="A17" s="16" t="inlineStr">
        <is>
          <t>WBS-04</t>
        </is>
      </c>
      <c r="B17" s="11" t="inlineStr">
        <is>
          <t>Phase 4: End-to-End Testing, Security Pentest &amp; UAT</t>
        </is>
      </c>
      <c r="C17" s="16" t="n">
        <v>50</v>
      </c>
      <c r="D17" s="18" t="n">
        <v>492</v>
      </c>
      <c r="E17" s="18" t="n">
        <v>24600</v>
      </c>
      <c r="F17" s="11" t="inlineStr">
        <is>
          <t>QA Lead (25d), PM (10d), SA (5d), Security/DevOps (10d)</t>
        </is>
      </c>
      <c r="G17" s="16" t="inlineStr">
        <is>
          <t>Fixed Milestone</t>
        </is>
      </c>
    </row>
    <row r="18" ht="24" customHeight="1">
      <c r="A18" s="17" t="inlineStr">
        <is>
          <t>WBS-05</t>
        </is>
      </c>
      <c r="B18" s="13" t="inlineStr">
        <is>
          <t>Phase 5: Production Deployment, Pilot Rollout &amp; Hypercare</t>
        </is>
      </c>
      <c r="C18" s="17" t="n">
        <v>36</v>
      </c>
      <c r="D18" s="19" t="n">
        <v>500</v>
      </c>
      <c r="E18" s="19" t="n">
        <v>18000</v>
      </c>
      <c r="F18" s="13" t="inlineStr">
        <is>
          <t>Tech Lead (12d), PM (12d), Mobile (6d), Backend (6d)</t>
        </is>
      </c>
      <c r="G18" s="17" t="inlineStr">
        <is>
          <t>Fixed Milestone</t>
        </is>
      </c>
    </row>
    <row r="19" ht="26" customHeight="1">
      <c r="A19" s="20" t="inlineStr">
        <is>
          <t>Subtotal Professional Services (381 Man-Days)</t>
        </is>
      </c>
      <c r="B19" s="21" t="n"/>
      <c r="C19" s="21" t="n"/>
      <c r="D19" s="21" t="n"/>
      <c r="E19" s="22">
        <f>SUM(E14:E18)</f>
        <v/>
      </c>
      <c r="F19" s="21" t="n"/>
      <c r="G19" s="21" t="n"/>
    </row>
    <row r="20" ht="26" customHeight="1">
      <c r="A20" s="23" t="inlineStr">
        <is>
          <t>Project Delivery Contingency Buffer (10%)</t>
        </is>
      </c>
      <c r="B20" s="21" t="n"/>
      <c r="C20" s="21" t="n"/>
      <c r="D20" s="21" t="n"/>
      <c r="E20" s="18">
        <f>E19*0.1</f>
        <v/>
      </c>
      <c r="F20" s="21" t="n"/>
      <c r="G20" s="21" t="n"/>
    </row>
    <row r="21" ht="26" customHeight="1">
      <c r="A21" s="24" t="inlineStr">
        <is>
          <t>TOTAL DELIVERY QUOTATION (USD ex GST/Tax)</t>
        </is>
      </c>
      <c r="B21" s="25" t="n"/>
      <c r="C21" s="25" t="n"/>
      <c r="D21" s="25" t="n"/>
      <c r="E21" s="26">
        <f>E19+E20</f>
        <v/>
      </c>
      <c r="F21" s="25" t="n"/>
      <c r="G21" s="25" t="n"/>
    </row>
    <row r="22"/>
    <row r="23" ht="24" customHeight="1">
      <c r="A23" s="3" t="inlineStr">
        <is>
          <t>3. DELIVERABLE-BASED MILESTONE PAYMENT SCHEDULE</t>
        </is>
      </c>
    </row>
    <row r="24" ht="24" customHeight="1">
      <c r="A24" s="10" t="inlineStr">
        <is>
          <t>Milestone #</t>
        </is>
      </c>
      <c r="B24" s="10" t="inlineStr">
        <is>
          <t>Payment Trigger &amp; Deliverable Gate</t>
        </is>
      </c>
      <c r="C24" s="10" t="inlineStr">
        <is>
          <t>% Allocation</t>
        </is>
      </c>
      <c r="D24" s="10" t="inlineStr">
        <is>
          <t>Amount (USD)</t>
        </is>
      </c>
      <c r="E24" s="10" t="inlineStr">
        <is>
          <t>Project Target Date</t>
        </is>
      </c>
      <c r="F24" s="10" t="inlineStr">
        <is>
          <t>Invoice Terms</t>
        </is>
      </c>
    </row>
    <row r="25" ht="24" customHeight="1">
      <c r="A25" s="16" t="inlineStr">
        <is>
          <t>Milestone 1</t>
        </is>
      </c>
      <c r="B25" s="11" t="inlineStr">
        <is>
          <t>Contract Execution &amp; Inception Kick-off</t>
        </is>
      </c>
      <c r="C25" s="27" t="n">
        <v>0.2</v>
      </c>
      <c r="D25" s="18" t="n">
        <v>43670</v>
      </c>
      <c r="E25" s="16" t="inlineStr">
        <is>
          <t>Nov 02, 2026 (Kick-off)</t>
        </is>
      </c>
      <c r="F25" s="11" t="inlineStr">
        <is>
          <t>Due within 14 days of invoice</t>
        </is>
      </c>
    </row>
    <row r="26" ht="24" customHeight="1">
      <c r="A26" s="17" t="inlineStr">
        <is>
          <t>Milestone 2</t>
        </is>
      </c>
      <c r="B26" s="13" t="inlineStr">
        <is>
          <t>Architecture Sign-off &amp; Core OMS Staging Demo</t>
        </is>
      </c>
      <c r="C26" s="28" t="n">
        <v>0.25</v>
      </c>
      <c r="D26" s="19" t="n">
        <v>54587.5</v>
      </c>
      <c r="E26" s="17" t="inlineStr">
        <is>
          <t>Dec 21, 2026 (End Sprint 3)</t>
        </is>
      </c>
      <c r="F26" s="13" t="inlineStr">
        <is>
          <t>Due within 14 days of gate approval</t>
        </is>
      </c>
    </row>
    <row r="27" ht="24" customHeight="1">
      <c r="A27" s="16" t="inlineStr">
        <is>
          <t>Milestone 3</t>
        </is>
      </c>
      <c r="B27" s="11" t="inlineStr">
        <is>
          <t>Feature Complete: WMS Scanner &amp; Store App Release</t>
        </is>
      </c>
      <c r="C27" s="27" t="n">
        <v>0.3</v>
      </c>
      <c r="D27" s="18" t="n">
        <v>65505</v>
      </c>
      <c r="E27" s="16" t="inlineStr">
        <is>
          <t>Feb 22, 2027 (End Sprint 8)</t>
        </is>
      </c>
      <c r="F27" s="11" t="inlineStr">
        <is>
          <t>Due within 14 days of gate approval</t>
        </is>
      </c>
    </row>
    <row r="28" ht="24" customHeight="1">
      <c r="A28" s="17" t="inlineStr">
        <is>
          <t>Milestone 4</t>
        </is>
      </c>
      <c r="B28" s="13" t="inlineStr">
        <is>
          <t>UAT Sign-off &amp; Pilot Go-Live (Sydney DC + 10 Stores)</t>
        </is>
      </c>
      <c r="C28" s="28" t="n">
        <v>0.15</v>
      </c>
      <c r="D28" s="19" t="n">
        <v>32752.5</v>
      </c>
      <c r="E28" s="17" t="inlineStr">
        <is>
          <t>Mar 29, 2027 (End Sprint 10)</t>
        </is>
      </c>
      <c r="F28" s="13" t="inlineStr">
        <is>
          <t>Due within 14 days of gate approval</t>
        </is>
      </c>
    </row>
    <row r="29" ht="24" customHeight="1">
      <c r="A29" s="16" t="inlineStr">
        <is>
          <t>Milestone 5</t>
        </is>
      </c>
      <c r="B29" s="11" t="inlineStr">
        <is>
          <t>Final Handover &amp; 90-Day Hypercare Acceptance</t>
        </is>
      </c>
      <c r="C29" s="27" t="n">
        <v>0.1</v>
      </c>
      <c r="D29" s="18" t="n">
        <v>21835</v>
      </c>
      <c r="E29" s="16" t="inlineStr">
        <is>
          <t>Apr 19, 2027 (Final Gate)</t>
        </is>
      </c>
      <c r="F29" s="11" t="inlineStr">
        <is>
          <t>Due within 30 days of sign-off</t>
        </is>
      </c>
    </row>
  </sheetData>
  <mergeCells count="8">
    <mergeCell ref="A1:G1"/>
    <mergeCell ref="A20:D20"/>
    <mergeCell ref="A12:G12"/>
    <mergeCell ref="A4:G4"/>
    <mergeCell ref="A21:D21"/>
    <mergeCell ref="A2:G2"/>
    <mergeCell ref="A19:D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2026-10-08T15:12:36Z</dcterms:created>
  <dcterms:modified xsi:type="dcterms:W3CDTF">2026-10-08T15:12:36Z</dcterms:modified>
</cp:coreProperties>
</file>
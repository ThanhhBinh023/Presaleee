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Project Roles" sheetId="2" state="visible" r:id="rId2"/>
    <sheet name="Project Management Approach" sheetId="3" state="visible" r:id="rId3"/>
    <sheet name="RAID" sheetId="4" state="visible" r:id="rId4"/>
    <sheet name="Acceptance Docs" sheetId="5" state="visible" r:id="rId5"/>
    <sheet name="FR" sheetId="6" state="visible" r:id="rId6"/>
    <sheet name="Tech-stack" sheetId="7" state="visible" r:id="rId7"/>
    <sheet name="Non-FR" sheetId="8" state="visible" r:id="rId8"/>
    <sheet name="RateCard" sheetId="9" state="visible" r:id="rId9"/>
    <sheet name="Macro Plan &amp; Quotation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Segoe UI"/>
      <b val="1"/>
      <color rgb="000F172A"/>
      <sz val="15"/>
    </font>
    <font>
      <name val="Segoe UI"/>
      <i val="1"/>
      <color rgb="00475569"/>
      <sz val="10"/>
    </font>
    <font>
      <name val="Segoe UI"/>
      <b val="1"/>
      <color rgb="00FFFFFF"/>
      <sz val="11"/>
    </font>
    <font>
      <name val="Segoe UI"/>
      <b val="1"/>
      <color rgb="00334155"/>
      <sz val="9.5"/>
    </font>
    <font>
      <name val="Segoe UI"/>
      <color rgb="000F172A"/>
      <sz val="9.5"/>
    </font>
    <font>
      <name val="Segoe UI"/>
      <b val="1"/>
      <color rgb="00FFFFFF"/>
      <sz val="10"/>
    </font>
    <font>
      <name val="Segoe UI"/>
      <color rgb="001E293B"/>
      <sz val="9.5"/>
    </font>
    <font>
      <name val="Segoe UI"/>
      <b val="1"/>
      <color rgb="001E293B"/>
      <sz val="9.5"/>
    </font>
  </fonts>
  <fills count="7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DBEAFE"/>
        <bgColor rgb="00DBEAFE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334155"/>
      </left>
      <right style="thin">
        <color rgb="00334155"/>
      </right>
      <top style="medium">
        <color rgb="000F172A"/>
      </top>
      <bottom style="medium">
        <color rgb="000F172A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 vertical="center" indent="1"/>
    </xf>
    <xf numFmtId="0" fontId="4" fillId="3" borderId="1" applyAlignment="1" pivotButton="0" quotePrefix="0" xfId="0">
      <alignment horizontal="left" vertical="center"/>
    </xf>
    <xf numFmtId="0" fontId="5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3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left" vertical="top" wrapText="1"/>
    </xf>
    <xf numFmtId="0" fontId="6" fillId="4" borderId="2" applyAlignment="1" pivotButton="0" quotePrefix="0" xfId="0">
      <alignment horizontal="center" vertical="center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/>
    </xf>
    <xf numFmtId="0" fontId="7" fillId="3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right" vertical="center" indent="1"/>
    </xf>
    <xf numFmtId="0" fontId="0" fillId="5" borderId="1" pivotButton="0" quotePrefix="0" xfId="0"/>
    <xf numFmtId="164" fontId="8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right" vertical="center" indent="1"/>
    </xf>
    <xf numFmtId="0" fontId="1" fillId="6" borderId="1" applyAlignment="1" pivotButton="0" quotePrefix="0" xfId="0">
      <alignment horizontal="right" vertical="center" indent="1"/>
    </xf>
    <xf numFmtId="0" fontId="0" fillId="6" borderId="1" pivotButton="0" quotePrefix="0" xfId="0"/>
    <xf numFmtId="164" fontId="1" fillId="6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center" vertical="center"/>
    </xf>
    <xf numFmtId="165" fontId="7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75" customWidth="1" min="2" max="2"/>
    <col width="20" customWidth="1" min="3" max="3"/>
    <col width="35" customWidth="1" min="4" max="4"/>
    <col width="48" customWidth="1" min="5" max="5"/>
    <col width="15" customWidth="1" min="6" max="6"/>
  </cols>
  <sheetData>
    <row r="1" ht="32" customHeight="1">
      <c r="A1" s="1" t="inlineStr">
        <is>
          <t>PROPOSAL: NEXT-GEN INTERACTIVE LMS &amp; AI PROCTORING PLATFORM</t>
        </is>
      </c>
    </row>
    <row r="2" ht="20" customHeight="1">
      <c r="A2" s="2" t="inlineStr">
        <is>
          <t>Client: EduVantage Global Academy Ltd  |  Proposal ID: PRP-2026-EDV-06  |  Date: 18 October 2026  |  Validity: 30 Days</t>
        </is>
      </c>
    </row>
    <row r="3"/>
    <row r="4" ht="24" customHeight="1">
      <c r="A4" s="3" t="inlineStr">
        <is>
          <t>PROJECT METADATA</t>
        </is>
      </c>
    </row>
    <row r="5" ht="24" customHeight="1">
      <c r="A5" s="4" t="inlineStr">
        <is>
          <t>Client Name</t>
        </is>
      </c>
      <c r="B5" s="5" t="inlineStr">
        <is>
          <t>EduVantage Global Academy Ltd</t>
        </is>
      </c>
      <c r="C5" s="6" t="n"/>
      <c r="D5" s="4" t="inlineStr">
        <is>
          <t>Presale Solution Lead</t>
        </is>
      </c>
      <c r="E5" s="5" t="inlineStr">
        <is>
          <t>Dr. Kevin Liang (Principal EdTech Architect)</t>
        </is>
      </c>
      <c r="F5" s="6" t="n"/>
    </row>
    <row r="6" ht="24" customHeight="1">
      <c r="A6" s="4" t="inlineStr">
        <is>
          <t>Project Code</t>
        </is>
      </c>
      <c r="B6" s="5" t="inlineStr">
        <is>
          <t>PBL6-EDV-LMS-2026</t>
        </is>
      </c>
      <c r="C6" s="6" t="n"/>
      <c r="D6" s="4" t="inlineStr">
        <is>
          <t>Delivery Manager</t>
        </is>
      </c>
      <c r="E6" s="5" t="inlineStr">
        <is>
          <t>Sarah Jenkins (Senior Agile Delivery Lead)</t>
        </is>
      </c>
      <c r="F6" s="6" t="n"/>
    </row>
    <row r="7" ht="24" customHeight="1">
      <c r="A7" s="4" t="inlineStr">
        <is>
          <t>Proposal Version</t>
        </is>
      </c>
      <c r="B7" s="5" t="inlineStr">
        <is>
          <t>v1.0 (Full Technical &amp; Commercial)</t>
        </is>
      </c>
      <c r="C7" s="6" t="n"/>
      <c r="D7" s="4" t="inlineStr">
        <is>
          <t>Target Kick-off</t>
        </is>
      </c>
      <c r="E7" s="5" t="inlineStr">
        <is>
          <t>16 November 2026</t>
        </is>
      </c>
      <c r="F7" s="6" t="n"/>
    </row>
    <row r="8" ht="24" customHeight="1">
      <c r="A8" s="4" t="inlineStr">
        <is>
          <t>Primary Objective</t>
        </is>
      </c>
      <c r="B8" s="5" t="inlineStr">
        <is>
          <t>Deliver Scalable Cloud LMS, Mobile Apps, and AI-Powered Remote Proctoring Engine</t>
        </is>
      </c>
      <c r="C8" s="6" t="n"/>
      <c r="D8" s="4" t="inlineStr">
        <is>
          <t>Total Delivery Duration</t>
        </is>
      </c>
      <c r="E8" s="5" t="inlineStr">
        <is>
          <t>20 Calendar Weeks (10 Sprints)</t>
        </is>
      </c>
      <c r="F8" s="6" t="n"/>
    </row>
    <row r="9"/>
    <row r="10" ht="24" customHeight="1">
      <c r="A10" s="3" t="inlineStr">
        <is>
          <t>EXECUTIVE SUMMARY &amp; 'WHY THIS SOLUTION'</t>
        </is>
      </c>
    </row>
    <row r="11" ht="48" customHeight="1">
      <c r="A11" s="7" t="inlineStr">
        <is>
          <t>Executive Problem Context</t>
        </is>
      </c>
      <c r="B11" s="8" t="inlineStr">
        <is>
          <t>EduVantage faces high invigilation costs ($180k/semester) and exam integrity risks. Legacy LMS cannot handle concurrent examination loads of 15,000 students.</t>
        </is>
      </c>
      <c r="C11" s="6" t="n"/>
      <c r="D11" s="6" t="n"/>
      <c r="E11" s="6" t="n"/>
      <c r="F11" s="6" t="n"/>
    </row>
    <row r="12" ht="48" customHeight="1">
      <c r="A12" s="7" t="inlineStr">
        <is>
          <t>Proposed Strategic Solution</t>
        </is>
      </c>
      <c r="B12" s="8" t="inlineStr">
        <is>
          <t>We propose 'EduVantage Cloud LMS &amp; ProctorAI': AWS EKS auto-scaling learning portal with WebRTC live classrooms, on-device AI proctoring analyzing webcam and audio feeds, and automated Turnitin similarity scoring.</t>
        </is>
      </c>
      <c r="C12" s="6" t="n"/>
      <c r="D12" s="6" t="n"/>
      <c r="E12" s="6" t="n"/>
      <c r="F12" s="6" t="n"/>
    </row>
    <row r="13" ht="72" customHeight="1">
      <c r="A13" s="7" t="inlineStr">
        <is>
          <t>Measurable Business Impact</t>
        </is>
      </c>
      <c r="B13" s="8" t="inlineStr">
        <is>
          <t>• Invigilation operational expenditure reduced by 75% via automated AI screening.
• Zero server downtime during 25,000 concurrent student final exams.
• Exam grading turnaround accelerated from 3 weeks to 48 hours.
• Student mobile satisfaction score increased to &gt; 4.8/5.0.</t>
        </is>
      </c>
      <c r="C13" s="6" t="n"/>
      <c r="D13" s="6" t="n"/>
      <c r="E13" s="6" t="n"/>
      <c r="F13" s="6" t="n"/>
    </row>
    <row r="14"/>
    <row r="15" ht="24" customHeight="1">
      <c r="A15" s="3" t="inlineStr">
        <is>
          <t>COMMERCIAL &amp; INVESTMENT SNAPSHOT (USD)</t>
        </is>
      </c>
    </row>
    <row r="16" ht="24" customHeight="1">
      <c r="A16" s="4" t="inlineStr">
        <is>
          <t>Core Services Subtotal</t>
        </is>
      </c>
      <c r="B16" s="5" t="inlineStr">
        <is>
          <t>$168,000 ex GST</t>
        </is>
      </c>
      <c r="C16" s="6" t="n"/>
      <c r="D16" s="4" t="inlineStr">
        <is>
          <t>Warranty &amp; Support Period</t>
        </is>
      </c>
      <c r="E16" s="5" t="inlineStr">
        <is>
          <t>90 Calendar Days Hypercare Included</t>
        </is>
      </c>
      <c r="F16" s="6" t="n"/>
    </row>
    <row r="17" ht="24" customHeight="1">
      <c r="A17" s="4" t="inlineStr">
        <is>
          <t>Project Contingency Buffer (10%)</t>
        </is>
      </c>
      <c r="B17" s="5" t="inlineStr">
        <is>
          <t>$16,800</t>
        </is>
      </c>
      <c r="C17" s="6" t="n"/>
      <c r="D17" s="4" t="inlineStr">
        <is>
          <t>Payment Term Milestone Structure</t>
        </is>
      </c>
      <c r="E17" s="5" t="inlineStr">
        <is>
          <t>5 Milestone Gates (20/25/30/15/10)</t>
        </is>
      </c>
      <c r="F17" s="6" t="n"/>
    </row>
    <row r="18" ht="24" customHeight="1">
      <c r="A18" s="4" t="inlineStr">
        <is>
          <t>Total Delivery Investment</t>
        </is>
      </c>
      <c r="B18" s="5" t="inlineStr">
        <is>
          <t>$184,800 ex GST</t>
        </is>
      </c>
      <c r="C18" s="6" t="n"/>
      <c r="D18" s="4" t="inlineStr">
        <is>
          <t>Ongoing SLA Support (Tier 2/3)</t>
        </is>
      </c>
      <c r="E18" s="5" t="inlineStr">
        <is>
          <t>Optional AUD $4,500/month (99.95% Uptime SLA)</t>
        </is>
      </c>
      <c r="F18" s="6" t="n"/>
    </row>
  </sheetData>
  <mergeCells count="22">
    <mergeCell ref="B16:C16"/>
    <mergeCell ref="B7:C7"/>
    <mergeCell ref="E5:F5"/>
    <mergeCell ref="B18:C18"/>
    <mergeCell ref="E17:F17"/>
    <mergeCell ref="E8:F8"/>
    <mergeCell ref="A2:F2"/>
    <mergeCell ref="B12:F12"/>
    <mergeCell ref="B11:F11"/>
    <mergeCell ref="A4:F4"/>
    <mergeCell ref="B17:C17"/>
    <mergeCell ref="B8:C8"/>
    <mergeCell ref="B13:F13"/>
    <mergeCell ref="E6:F6"/>
    <mergeCell ref="A10:F10"/>
    <mergeCell ref="A15:F15"/>
    <mergeCell ref="B6:C6"/>
    <mergeCell ref="E16:F16"/>
    <mergeCell ref="E7:F7"/>
    <mergeCell ref="B5:C5"/>
    <mergeCell ref="A1:F1"/>
    <mergeCell ref="E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61" customWidth="1" min="1" max="1"/>
    <col width="15" customWidth="1" min="2" max="2"/>
    <col width="19" customWidth="1" min="3" max="3"/>
    <col width="75" customWidth="1" min="4" max="4"/>
    <col width="40" customWidth="1" min="5" max="5"/>
    <col width="14" customWidth="1" min="6" max="6"/>
    <col width="10" customWidth="1" min="7" max="7"/>
  </cols>
  <sheetData>
    <row r="1" ht="28" customHeight="1">
      <c r="A1" s="1" t="inlineStr">
        <is>
          <t>PROJECT ORGANIZATION &amp; TEAM ROLES</t>
        </is>
      </c>
    </row>
    <row r="2" ht="18" customHeight="1">
      <c r="A2" s="2" t="inlineStr">
        <is>
          <t>Governance structure, resource allocation and RACI matrix.</t>
        </is>
      </c>
    </row>
    <row r="3"/>
    <row r="4" ht="24" customHeight="1">
      <c r="A4" s="9" t="inlineStr">
        <is>
          <t>Role Title</t>
        </is>
      </c>
      <c r="B4" s="9" t="inlineStr">
        <is>
          <t>Organization</t>
        </is>
      </c>
      <c r="C4" s="9" t="inlineStr">
        <is>
          <t>Allocation</t>
        </is>
      </c>
      <c r="D4" s="9" t="inlineStr">
        <is>
          <t>Primary Responsibilities</t>
        </is>
      </c>
      <c r="E4" s="9" t="inlineStr">
        <is>
          <t>Key Deliverables Owned</t>
        </is>
      </c>
      <c r="F4" s="9" t="inlineStr">
        <is>
          <t>Seniority</t>
        </is>
      </c>
    </row>
    <row r="5" ht="28" customHeight="1">
      <c r="A5" s="10" t="inlineStr">
        <is>
          <t>EdTech Solution Architect</t>
        </is>
      </c>
      <c r="B5" s="11" t="inlineStr">
        <is>
          <t>Vendor</t>
        </is>
      </c>
      <c r="C5" s="11" t="inlineStr">
        <is>
          <t>Part-Time (40%)</t>
        </is>
      </c>
      <c r="D5" s="10" t="inlineStr">
        <is>
          <t>Cloud video architecture, AI proctoring model pipeline, FERPA/GDPR compliance</t>
        </is>
      </c>
      <c r="E5" s="10" t="inlineStr">
        <is>
          <t>Architecture Blueprint, Security Spec</t>
        </is>
      </c>
      <c r="F5" s="11" t="inlineStr">
        <is>
          <t>Principal</t>
        </is>
      </c>
    </row>
    <row r="6" ht="28" customHeight="1">
      <c r="A6" s="12" t="inlineStr">
        <is>
          <t>Project Manager</t>
        </is>
      </c>
      <c r="B6" s="13" t="inlineStr">
        <is>
          <t>Vendor</t>
        </is>
      </c>
      <c r="C6" s="13" t="inlineStr">
        <is>
          <t>Full-Time (100%)</t>
        </is>
      </c>
      <c r="D6" s="12" t="inlineStr">
        <is>
          <t>Sprint governance, stakeholder demos, budget and delivery schedule</t>
        </is>
      </c>
      <c r="E6" s="12" t="inlineStr">
        <is>
          <t>Project Plan, Risk Register</t>
        </is>
      </c>
      <c r="F6" s="13" t="inlineStr">
        <is>
          <t>Senior</t>
        </is>
      </c>
    </row>
    <row r="7" ht="28" customHeight="1">
      <c r="A7" s="10" t="inlineStr">
        <is>
          <t>Technical Lead</t>
        </is>
      </c>
      <c r="B7" s="11" t="inlineStr">
        <is>
          <t>Vendor</t>
        </is>
      </c>
      <c r="C7" s="11" t="inlineStr">
        <is>
          <t>Full-Time (100%)</t>
        </is>
      </c>
      <c r="D7" s="10" t="inlineStr">
        <is>
          <t>Full-stack architecture, WebRTC video scaling, code review governance</t>
        </is>
      </c>
      <c r="E7" s="10" t="inlineStr">
        <is>
          <t>Core Codebase, CI/CD Pipeline</t>
        </is>
      </c>
      <c r="F7" s="11" t="inlineStr">
        <is>
          <t>Lead</t>
        </is>
      </c>
    </row>
    <row r="8" ht="28" customHeight="1">
      <c r="A8" s="12" t="inlineStr">
        <is>
          <t>Senior Backend Engineers (2)</t>
        </is>
      </c>
      <c r="B8" s="13" t="inlineStr">
        <is>
          <t>Vendor</t>
        </is>
      </c>
      <c r="C8" s="13" t="inlineStr">
        <is>
          <t>Full-Time (200%)</t>
        </is>
      </c>
      <c r="D8" s="12" t="inlineStr">
        <is>
          <t>Course management APIs, assessment engine, gradebook microservice</t>
        </is>
      </c>
      <c r="E8" s="12" t="inlineStr">
        <is>
          <t>REST/GraphQL APIs, Data Models</t>
        </is>
      </c>
      <c r="F8" s="13" t="inlineStr">
        <is>
          <t>Senior</t>
        </is>
      </c>
    </row>
    <row r="9" ht="28" customHeight="1">
      <c r="A9" s="10" t="inlineStr">
        <is>
          <t>Senior Frontend Engineer</t>
        </is>
      </c>
      <c r="B9" s="11" t="inlineStr">
        <is>
          <t>Vendor</t>
        </is>
      </c>
      <c r="C9" s="11" t="inlineStr">
        <is>
          <t>Full-Time (100%)</t>
        </is>
      </c>
      <c r="D9" s="10" t="inlineStr">
        <is>
          <t>Next.js student/teacher web portals, interactive grading studio</t>
        </is>
      </c>
      <c r="E9" s="10" t="inlineStr">
        <is>
          <t>Web Portals, UI Components</t>
        </is>
      </c>
      <c r="F9" s="11" t="inlineStr">
        <is>
          <t>Senior</t>
        </is>
      </c>
    </row>
    <row r="10" ht="28" customHeight="1">
      <c r="A10" s="12" t="inlineStr">
        <is>
          <t>Senior Mobile Engineer</t>
        </is>
      </c>
      <c r="B10" s="13" t="inlineStr">
        <is>
          <t>Vendor</t>
        </is>
      </c>
      <c r="C10" s="13" t="inlineStr">
        <is>
          <t>Full-Time (100%)</t>
        </is>
      </c>
      <c r="D10" s="12" t="inlineStr">
        <is>
          <t>React Native student mobile app with offline video caching</t>
        </is>
      </c>
      <c r="E10" s="12" t="inlineStr">
        <is>
          <t>iOS and Android Mobile Apps</t>
        </is>
      </c>
      <c r="F10" s="13" t="inlineStr">
        <is>
          <t>Senior</t>
        </is>
      </c>
    </row>
    <row r="11" ht="28" customHeight="1">
      <c r="A11" s="10" t="inlineStr">
        <is>
          <t>QA / Test Automation Lead</t>
        </is>
      </c>
      <c r="B11" s="11" t="inlineStr">
        <is>
          <t>Vendor</t>
        </is>
      </c>
      <c r="C11" s="11" t="inlineStr">
        <is>
          <t>Full-Time (100%)</t>
        </is>
      </c>
      <c r="D11" s="10" t="inlineStr">
        <is>
          <t>Load testing concurrent exam submissions, proctoring accuracy test</t>
        </is>
      </c>
      <c r="E11" s="10" t="inlineStr">
        <is>
          <t>Test Automation Suites</t>
        </is>
      </c>
      <c r="F11" s="11" t="inlineStr">
        <is>
          <t>Senior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75" customWidth="1" min="2" max="2"/>
    <col width="25" customWidth="1" min="3" max="3"/>
    <col width="25" customWidth="1" min="4" max="4"/>
    <col width="20" customWidth="1" min="5" max="5"/>
  </cols>
  <sheetData>
    <row r="1" ht="28" customHeight="1">
      <c r="A1" s="1" t="inlineStr">
        <is>
          <t>PROJECT MANAGEMENT &amp; DELIVERY METHODOLOGY</t>
        </is>
      </c>
    </row>
    <row r="2" ht="18" customHeight="1">
      <c r="A2" s="2" t="inlineStr">
        <is>
          <t>Agile Scrum framework, ceremonies, quality gates, and communication cadence.</t>
        </is>
      </c>
    </row>
    <row r="3"/>
    <row r="4" ht="24" customHeight="1">
      <c r="A4" s="3" t="inlineStr">
        <is>
          <t>1. AGILE DELIVERY FRAMEWORK &amp; SPRINTS</t>
        </is>
      </c>
    </row>
    <row r="5" ht="24" customHeight="1">
      <c r="A5" s="4" t="inlineStr">
        <is>
          <t>Sprint Duration</t>
        </is>
      </c>
      <c r="B5" s="14" t="inlineStr">
        <is>
          <t>2 Calendar Weeks per Sprint.</t>
        </is>
      </c>
      <c r="C5" s="6" t="n"/>
      <c r="D5" s="6" t="n"/>
      <c r="E5" s="6" t="n"/>
    </row>
    <row r="6" ht="42" customHeight="1">
      <c r="A6" s="4" t="inlineStr">
        <is>
          <t>Sprint Planning</t>
        </is>
      </c>
      <c r="B6" s="14" t="inlineStr">
        <is>
          <t>Alternate Mondays (9:00 AM - 11:00 AM). User stories estimated via Fibonacci planning poker.</t>
        </is>
      </c>
      <c r="C6" s="6" t="n"/>
      <c r="D6" s="6" t="n"/>
      <c r="E6" s="6" t="n"/>
    </row>
    <row r="7" ht="42" customHeight="1">
      <c r="A7" s="4" t="inlineStr">
        <is>
          <t>Daily Standup</t>
        </is>
      </c>
      <c r="B7" s="14" t="inlineStr">
        <is>
          <t>15-minute daily sync at 9:30 AM via Slack/Google Meet: Yesterday, Today, Blockers.</t>
        </is>
      </c>
      <c r="C7" s="6" t="n"/>
      <c r="D7" s="6" t="n"/>
      <c r="E7" s="6" t="n"/>
    </row>
    <row r="8" ht="42" customHeight="1">
      <c r="A8" s="4" t="inlineStr">
        <is>
          <t>Sprint Review &amp; Live Demo</t>
        </is>
      </c>
      <c r="B8" s="14" t="inlineStr">
        <is>
          <t>Alternate Fridays (3:00 PM - 4:00 PM). Live functional demonstration in Staging.</t>
        </is>
      </c>
      <c r="C8" s="6" t="n"/>
      <c r="D8" s="6" t="n"/>
      <c r="E8" s="6" t="n"/>
    </row>
    <row r="9" ht="42" customHeight="1">
      <c r="A9" s="4" t="inlineStr">
        <is>
          <t>Sprint Retrospective</t>
        </is>
      </c>
      <c r="B9" s="14" t="inlineStr">
        <is>
          <t>Alternate Fridays (4:00 PM - 5:00 PM). Continuous process improvement and velocity review.</t>
        </is>
      </c>
      <c r="C9" s="6" t="n"/>
      <c r="D9" s="6" t="n"/>
      <c r="E9" s="6" t="n"/>
    </row>
    <row r="10"/>
    <row r="11" ht="24" customHeight="1">
      <c r="A11" s="3" t="inlineStr">
        <is>
          <t>2. TOOLING &amp; COLLABORATION PLATFORMS</t>
        </is>
      </c>
    </row>
    <row r="12" ht="24" customHeight="1">
      <c r="A12" s="4" t="inlineStr">
        <is>
          <t>Project Management &amp; Backlog</t>
        </is>
      </c>
      <c r="B12" s="14" t="inlineStr">
        <is>
          <t>Jira Software – Epics, User Stories, Bug tracking, Sprint Burndown Charts.</t>
        </is>
      </c>
      <c r="C12" s="6" t="n"/>
      <c r="D12" s="6" t="n"/>
      <c r="E12" s="6" t="n"/>
    </row>
    <row r="13" ht="24" customHeight="1">
      <c r="A13" s="4" t="inlineStr">
        <is>
          <t>Documentation &amp; Knowledge Base</t>
        </is>
      </c>
      <c r="B13" s="14" t="inlineStr">
        <is>
          <t>Confluence – Architecture Decision Records (ADRs), API specs, Runbooks.</t>
        </is>
      </c>
      <c r="C13" s="6" t="n"/>
      <c r="D13" s="6" t="n"/>
      <c r="E13" s="6" t="n"/>
    </row>
    <row r="14" ht="42" customHeight="1">
      <c r="A14" s="4" t="inlineStr">
        <is>
          <t>Version Control &amp; CI/CD</t>
        </is>
      </c>
      <c r="B14" s="14" t="inlineStr">
        <is>
          <t>GitHub Enterprise – Trunk-based development, 2 peer approvals per PR, automated tests.</t>
        </is>
      </c>
      <c r="C14" s="6" t="n"/>
      <c r="D14" s="6" t="n"/>
      <c r="E14" s="6" t="n"/>
    </row>
    <row r="15" ht="24" customHeight="1">
      <c r="A15" s="4" t="inlineStr">
        <is>
          <t>UI/UX Design Collaboration</t>
        </is>
      </c>
      <c r="B15" s="14" t="inlineStr">
        <is>
          <t>Figma – Design systems, mobile viewports, click-through interactive prototypes.</t>
        </is>
      </c>
      <c r="C15" s="6" t="n"/>
      <c r="D15" s="6" t="n"/>
      <c r="E15" s="6" t="n"/>
    </row>
    <row r="16" ht="42" customHeight="1">
      <c r="A16" s="4" t="inlineStr">
        <is>
          <t>Real-Time Communications</t>
        </is>
      </c>
      <c r="B16" s="14" t="inlineStr">
        <is>
          <t>Slack – Dedicated shared channels (#project-daily, #project-tech-dev, #project-announcements).</t>
        </is>
      </c>
      <c r="C16" s="6" t="n"/>
      <c r="D16" s="6" t="n"/>
      <c r="E16" s="6" t="n"/>
    </row>
    <row r="17"/>
    <row r="18" ht="24" customHeight="1">
      <c r="A18" s="3" t="inlineStr">
        <is>
          <t>3. QUALITY GOVERNANCE &amp; CODE REVIEW GATES</t>
        </is>
      </c>
    </row>
    <row r="19" ht="42" customHeight="1">
      <c r="A19" s="4" t="inlineStr">
        <is>
          <t>Code Review Standards</t>
        </is>
      </c>
      <c r="B19" s="14" t="inlineStr">
        <is>
          <t>Every PR requires 2 peer approvals (including Tech Lead). Automated linter and formatting checks.</t>
        </is>
      </c>
      <c r="C19" s="6" t="n"/>
      <c r="D19" s="6" t="n"/>
      <c r="E19" s="6" t="n"/>
    </row>
    <row r="20" ht="42" customHeight="1">
      <c r="A20" s="4" t="inlineStr">
        <is>
          <t>Automated Test Gates</t>
        </is>
      </c>
      <c r="B20" s="14" t="inlineStr">
        <is>
          <t>SonarQube scan: 0 critical vulnerabilities, &lt; 3% code duplication, &gt;= 80% unit test coverage.</t>
        </is>
      </c>
      <c r="C20" s="6" t="n"/>
      <c r="D20" s="6" t="n"/>
      <c r="E20" s="6" t="n"/>
    </row>
    <row r="21" ht="42" customHeight="1">
      <c r="A21" s="4" t="inlineStr">
        <is>
          <t>Deployment Automation</t>
        </is>
      </c>
      <c r="B21" s="14" t="inlineStr">
        <is>
          <t>Automated deployment to Dev on merge; automated Staging deployment on sprint release tag.</t>
        </is>
      </c>
      <c r="C21" s="6" t="n"/>
      <c r="D21" s="6" t="n"/>
      <c r="E21" s="6" t="n"/>
    </row>
    <row r="22"/>
    <row r="23" ht="24" customHeight="1">
      <c r="A23" s="3" t="inlineStr">
        <is>
          <t>4. SCOPE CHANGE MANAGEMENT PROCEDURE (CR)</t>
        </is>
      </c>
    </row>
    <row r="24" ht="42" customHeight="1">
      <c r="A24" s="4" t="inlineStr">
        <is>
          <t>Change Request Trigger</t>
        </is>
      </c>
      <c r="B24" s="14" t="inlineStr">
        <is>
          <t>Any requirement deviation exceeding 10% of agreed Functional Requirements baseline.</t>
        </is>
      </c>
      <c r="C24" s="6" t="n"/>
      <c r="D24" s="6" t="n"/>
      <c r="E24" s="6" t="n"/>
    </row>
    <row r="25" ht="42" customHeight="1">
      <c r="A25" s="4" t="inlineStr">
        <is>
          <t>Impact Assessment</t>
        </is>
      </c>
      <c r="B25" s="14" t="inlineStr">
        <is>
          <t>Vendor PM &amp; Architect evaluate budget, timeline, and dependencies within 48 business hours.</t>
        </is>
      </c>
      <c r="C25" s="6" t="n"/>
      <c r="D25" s="6" t="n"/>
      <c r="E25" s="6" t="n"/>
    </row>
    <row r="26" ht="24" customHeight="1">
      <c r="A26" s="4" t="inlineStr">
        <is>
          <t>Commercial Agreement</t>
        </is>
      </c>
      <c r="B26" s="14" t="inlineStr">
        <is>
          <t>Formal Change Order document signed off by Client Sponsor prior to execution.</t>
        </is>
      </c>
      <c r="C26" s="6" t="n"/>
      <c r="D26" s="6" t="n"/>
      <c r="E26" s="6" t="n"/>
    </row>
  </sheetData>
  <mergeCells count="22">
    <mergeCell ref="B9:E9"/>
    <mergeCell ref="B6:E6"/>
    <mergeCell ref="A11:E11"/>
    <mergeCell ref="B15:E15"/>
    <mergeCell ref="A1:E1"/>
    <mergeCell ref="B24:E24"/>
    <mergeCell ref="B5:E5"/>
    <mergeCell ref="B20:E20"/>
    <mergeCell ref="B26:E26"/>
    <mergeCell ref="B16:E16"/>
    <mergeCell ref="B7:E7"/>
    <mergeCell ref="B25:E25"/>
    <mergeCell ref="A18:E18"/>
    <mergeCell ref="A2:E2"/>
    <mergeCell ref="B12:E12"/>
    <mergeCell ref="B21:E21"/>
    <mergeCell ref="A23:E23"/>
    <mergeCell ref="B14:E14"/>
    <mergeCell ref="A4:E4"/>
    <mergeCell ref="B8:E8"/>
    <mergeCell ref="B13:E13"/>
    <mergeCell ref="B19:E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7"/>
  <sheetViews>
    <sheetView showGridLines="1" workbookViewId="0">
      <selection activeCell="A1" sqref="A1"/>
    </sheetView>
  </sheetViews>
  <sheetFormatPr baseColWidth="8" defaultRowHeight="15"/>
  <cols>
    <col width="56" customWidth="1" min="1" max="1"/>
    <col width="15" customWidth="1" min="2" max="2"/>
    <col width="75" customWidth="1" min="3" max="3"/>
    <col width="12" customWidth="1" min="4" max="4"/>
    <col width="14" customWidth="1" min="5" max="5"/>
    <col width="75" customWidth="1" min="6" max="6"/>
    <col width="20" customWidth="1" min="7" max="7"/>
  </cols>
  <sheetData>
    <row r="1" ht="28" customHeight="1">
      <c r="A1" s="1" t="inlineStr">
        <is>
          <t>RAID LOG: RISKS, ASSUMPTIONS, ISSUES &amp; DEPENDENCIES</t>
        </is>
      </c>
    </row>
    <row r="2" ht="18" customHeight="1">
      <c r="A2" s="2" t="inlineStr">
        <is>
          <t>Active risk management matrix monitored continuously.</t>
        </is>
      </c>
    </row>
    <row r="3"/>
    <row r="4" ht="24" customHeight="1">
      <c r="A4" s="9" t="inlineStr">
        <is>
          <t>ID</t>
        </is>
      </c>
      <c r="B4" s="9" t="inlineStr">
        <is>
          <t>Category</t>
        </is>
      </c>
      <c r="C4" s="9" t="inlineStr">
        <is>
          <t>Item Description</t>
        </is>
      </c>
      <c r="D4" s="9" t="inlineStr">
        <is>
          <t>Impact</t>
        </is>
      </c>
      <c r="E4" s="9" t="inlineStr">
        <is>
          <t>Probability</t>
        </is>
      </c>
      <c r="F4" s="9" t="inlineStr">
        <is>
          <t>Mitigation Strategy &amp; Action Plan</t>
        </is>
      </c>
      <c r="G4" s="9" t="inlineStr">
        <is>
          <t>Owner</t>
        </is>
      </c>
    </row>
    <row r="5" ht="32" customHeight="1">
      <c r="A5" s="15" t="inlineStr">
        <is>
          <t>RSK-01</t>
        </is>
      </c>
      <c r="B5" s="15" t="inlineStr">
        <is>
          <t>Risk</t>
        </is>
      </c>
      <c r="C5" s="10" t="inlineStr">
        <is>
          <t>Webcam AI false positives during exam proctoring (poor lighting, ambient noise).</t>
        </is>
      </c>
      <c r="D5" s="15" t="inlineStr">
        <is>
          <t>High</t>
        </is>
      </c>
      <c r="E5" s="15" t="inlineStr">
        <is>
          <t>Medium</t>
        </is>
      </c>
      <c r="F5" s="10" t="inlineStr">
        <is>
          <t>Configure confidence score thresholds; flag for human secondary review rather than immediate auto-fail.</t>
        </is>
      </c>
      <c r="G5" s="15" t="inlineStr">
        <is>
          <t>AI Lead</t>
        </is>
      </c>
    </row>
    <row r="6" ht="32" customHeight="1">
      <c r="A6" s="16" t="inlineStr">
        <is>
          <t>RSK-02</t>
        </is>
      </c>
      <c r="B6" s="16" t="inlineStr">
        <is>
          <t>Risk</t>
        </is>
      </c>
      <c r="C6" s="12" t="inlineStr">
        <is>
          <t>Browser extension bypasses or dual-monitor cheating during unproctored quizzes.</t>
        </is>
      </c>
      <c r="D6" s="16" t="inlineStr">
        <is>
          <t>Medium</t>
        </is>
      </c>
      <c r="E6" s="16" t="inlineStr">
        <is>
          <t>Medium</t>
        </is>
      </c>
      <c r="F6" s="12" t="inlineStr">
        <is>
          <t>Deploy secure lockdown browser SDK with full screen capture and clipboard restrictions.</t>
        </is>
      </c>
      <c r="G6" s="16" t="inlineStr">
        <is>
          <t>Security Lead</t>
        </is>
      </c>
    </row>
    <row r="7" ht="32" customHeight="1">
      <c r="A7" s="15" t="inlineStr">
        <is>
          <t>DEP-01</t>
        </is>
      </c>
      <c r="B7" s="15" t="inlineStr">
        <is>
          <t>Dependency</t>
        </is>
      </c>
      <c r="C7" s="10" t="inlineStr">
        <is>
          <t>Zoom SDK and Turnitin API enterprise licensing credentials provisioned by Week 2.</t>
        </is>
      </c>
      <c r="D7" s="15" t="inlineStr">
        <is>
          <t>High</t>
        </is>
      </c>
      <c r="E7" s="15" t="inlineStr">
        <is>
          <t>Open</t>
        </is>
      </c>
      <c r="F7" s="10" t="inlineStr">
        <is>
          <t>Client procurement finalizing contract with Turnitin / Zoom.</t>
        </is>
      </c>
      <c r="G7" s="15" t="inlineStr">
        <is>
          <t>Client PM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75" customWidth="1" min="2" max="2"/>
    <col width="75" customWidth="1" min="3" max="3"/>
    <col width="23" customWidth="1" min="4" max="4"/>
    <col width="24" customWidth="1" min="5" max="5"/>
    <col width="49" customWidth="1" min="6" max="6"/>
  </cols>
  <sheetData>
    <row r="1" ht="28" customHeight="1">
      <c r="A1" s="1" t="inlineStr">
        <is>
          <t>QUALITY ASSURANCE, ACCEPTANCE CRITERIA &amp; DEFECT SLA</t>
        </is>
      </c>
    </row>
    <row r="2" ht="18" customHeight="1">
      <c r="A2" s="2" t="inlineStr">
        <is>
          <t>Definition of Done (DoD) and production defect severity SLAs.</t>
        </is>
      </c>
    </row>
    <row r="3"/>
    <row r="4" ht="24" customHeight="1">
      <c r="A4" s="3" t="inlineStr">
        <is>
          <t>1. DEFINITION OF DONE (DoD) FOR SPRINT USER STORIES</t>
        </is>
      </c>
    </row>
    <row r="5" ht="22" customHeight="1">
      <c r="A5" s="4" t="inlineStr">
        <is>
          <t>Criterion 1: Code Review</t>
        </is>
      </c>
      <c r="B5" s="14" t="inlineStr">
        <is>
          <t>All code committed to feature branch, passed linter, approved by 2 senior developers via GitHub PR.</t>
        </is>
      </c>
      <c r="C5" s="6" t="n"/>
      <c r="D5" s="6" t="n"/>
      <c r="E5" s="6" t="n"/>
      <c r="F5" s="6" t="n"/>
    </row>
    <row r="6" ht="22" customHeight="1">
      <c r="A6" s="4" t="inlineStr">
        <is>
          <t>Criterion 2: Automated Tests</t>
        </is>
      </c>
      <c r="B6" s="14" t="inlineStr">
        <is>
          <t>Unit tests written and passing with &gt;= 80% code coverage. Automated integration tests pass.</t>
        </is>
      </c>
      <c r="C6" s="6" t="n"/>
      <c r="D6" s="6" t="n"/>
      <c r="E6" s="6" t="n"/>
      <c r="F6" s="6" t="n"/>
    </row>
    <row r="7" ht="22" customHeight="1">
      <c r="A7" s="4" t="inlineStr">
        <is>
          <t>Criterion 3: Security &amp; Quality</t>
        </is>
      </c>
      <c r="B7" s="14" t="inlineStr">
        <is>
          <t>SonarQube scan passes with 0 Blocker/Critical bugs and 0 high-severity security vulnerabilities.</t>
        </is>
      </c>
      <c r="C7" s="6" t="n"/>
      <c r="D7" s="6" t="n"/>
      <c r="E7" s="6" t="n"/>
      <c r="F7" s="6" t="n"/>
    </row>
    <row r="8" ht="22" customHeight="1">
      <c r="A8" s="4" t="inlineStr">
        <is>
          <t>Criterion 4: Deployment &amp; Config</t>
        </is>
      </c>
      <c r="B8" s="14" t="inlineStr">
        <is>
          <t>Code automatically deployed to Staging with database migration scripts verified idempotently.</t>
        </is>
      </c>
      <c r="C8" s="6" t="n"/>
      <c r="D8" s="6" t="n"/>
      <c r="E8" s="6" t="n"/>
      <c r="F8" s="6" t="n"/>
    </row>
    <row r="9" ht="22" customHeight="1">
      <c r="A9" s="4" t="inlineStr">
        <is>
          <t>Criterion 5: Documentation</t>
        </is>
      </c>
      <c r="B9" s="14" t="inlineStr">
        <is>
          <t>API documentation generated via OpenAPI/Swagger. Architecture decisions recorded in Confluence.</t>
        </is>
      </c>
      <c r="C9" s="6" t="n"/>
      <c r="D9" s="6" t="n"/>
      <c r="E9" s="6" t="n"/>
      <c r="F9" s="6" t="n"/>
    </row>
    <row r="10" ht="22" customHeight="1">
      <c r="A10" s="4" t="inlineStr">
        <is>
          <t>Criterion 6: Acceptance Sign-off</t>
        </is>
      </c>
      <c r="B10" s="14" t="inlineStr">
        <is>
          <t>Client Product Owner verifies story in Staging and marks Jira story 'Accepted'.</t>
        </is>
      </c>
      <c r="C10" s="6" t="n"/>
      <c r="D10" s="6" t="n"/>
      <c r="E10" s="6" t="n"/>
      <c r="F10" s="6" t="n"/>
    </row>
    <row r="11"/>
    <row r="12" ht="24" customHeight="1">
      <c r="A12" s="3" t="inlineStr">
        <is>
          <t>2. DEFECT SEVERITY CLASSIFICATION &amp; RESOLUTION SLA (UAT &amp; WARRANTY)</t>
        </is>
      </c>
    </row>
    <row r="13" ht="24" customHeight="1">
      <c r="A13" s="9" t="inlineStr">
        <is>
          <t>Severity Level</t>
        </is>
      </c>
      <c r="B13" s="9" t="inlineStr">
        <is>
          <t>Definition</t>
        </is>
      </c>
      <c r="C13" s="9" t="inlineStr">
        <is>
          <t>Example Scenario</t>
        </is>
      </c>
      <c r="D13" s="9" t="inlineStr">
        <is>
          <t>Initial Response SLA</t>
        </is>
      </c>
      <c r="E13" s="9" t="inlineStr">
        <is>
          <t>Target Resolution SLA</t>
        </is>
      </c>
      <c r="F13" s="9" t="inlineStr">
        <is>
          <t>Exit Gate Impact</t>
        </is>
      </c>
    </row>
    <row r="14" ht="32" customHeight="1">
      <c r="A14" s="13" t="inlineStr">
        <is>
          <t>P1 – Blocker</t>
        </is>
      </c>
      <c r="B14" s="12" t="inlineStr">
        <is>
          <t>Critical system outage, total data loss risk, or complete stoppage of core checkout/operations.</t>
        </is>
      </c>
      <c r="C14" s="12" t="inlineStr">
        <is>
          <t>Core transaction engine crashes; all user transactions cease.</t>
        </is>
      </c>
      <c r="D14" s="13" t="inlineStr">
        <is>
          <t>&lt; 1 Hour</t>
        </is>
      </c>
      <c r="E14" s="13" t="inlineStr">
        <is>
          <t>&lt; 4 Hours</t>
        </is>
      </c>
      <c r="F14" s="12" t="inlineStr">
        <is>
          <t>Blocks Milestone Go-Live (Zero P1 tolerated)</t>
        </is>
      </c>
    </row>
    <row r="15" ht="32" customHeight="1">
      <c r="A15" s="11" t="inlineStr">
        <is>
          <t>P2 – Critical</t>
        </is>
      </c>
      <c r="B15" s="10" t="inlineStr">
        <is>
          <t>Major feature unusable with no reasonable workaround available for staff or users.</t>
        </is>
      </c>
      <c r="C15" s="10" t="inlineStr">
        <is>
          <t>Primary workflow crashes on specific supported browser/device.</t>
        </is>
      </c>
      <c r="D15" s="11" t="inlineStr">
        <is>
          <t>&lt; 2 Hours</t>
        </is>
      </c>
      <c r="E15" s="11" t="inlineStr">
        <is>
          <t>&lt; 8 Hours</t>
        </is>
      </c>
      <c r="F15" s="10" t="inlineStr">
        <is>
          <t>Blocks Milestone Go-Live (Zero P2 tolerated)</t>
        </is>
      </c>
    </row>
    <row r="16" ht="32" customHeight="1">
      <c r="A16" s="13" t="inlineStr">
        <is>
          <t>P3 – Major</t>
        </is>
      </c>
      <c r="B16" s="12" t="inlineStr">
        <is>
          <t>Feature failure but reasonable manual workaround exists without business disruption.</t>
        </is>
      </c>
      <c r="C16" s="12" t="inlineStr">
        <is>
          <t>Non-critical notification fails to trigger; alternative channel delivers status.</t>
        </is>
      </c>
      <c r="D16" s="13" t="inlineStr">
        <is>
          <t>&lt; 4 Hours</t>
        </is>
      </c>
      <c r="E16" s="13" t="inlineStr">
        <is>
          <t>&lt; 24 Hours</t>
        </is>
      </c>
      <c r="F16" s="12" t="inlineStr">
        <is>
          <t>Max 3 open P3 allowed with approved fix plan</t>
        </is>
      </c>
    </row>
    <row r="17" ht="32" customHeight="1">
      <c r="A17" s="11" t="inlineStr">
        <is>
          <t>P4 – Minor</t>
        </is>
      </c>
      <c r="B17" s="10" t="inlineStr">
        <is>
          <t>Cosmetic, minor UI alignment issue, or minor typo with zero functional impact.</t>
        </is>
      </c>
      <c r="C17" s="10" t="inlineStr">
        <is>
          <t>Dashboard chart legend overlaps slightly on mobile viewport resolution.</t>
        </is>
      </c>
      <c r="D17" s="11" t="inlineStr">
        <is>
          <t>&lt; 8 Hours</t>
        </is>
      </c>
      <c r="E17" s="11" t="inlineStr">
        <is>
          <t>&lt; 72 Hours</t>
        </is>
      </c>
      <c r="F17" s="10" t="inlineStr">
        <is>
          <t>Resolved in subsequent scheduled patch release</t>
        </is>
      </c>
    </row>
  </sheetData>
  <mergeCells count="10">
    <mergeCell ref="A2:F2"/>
    <mergeCell ref="B7:F7"/>
    <mergeCell ref="B6:F6"/>
    <mergeCell ref="B10:F10"/>
    <mergeCell ref="A1:F1"/>
    <mergeCell ref="B5:F5"/>
    <mergeCell ref="A12:F12"/>
    <mergeCell ref="A4:F4"/>
    <mergeCell ref="B8:F8"/>
    <mergeCell ref="B9:F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showGridLines="1" workbookViewId="0">
      <selection activeCell="A1" sqref="A1"/>
    </sheetView>
  </sheetViews>
  <sheetFormatPr baseColWidth="8" defaultRowHeight="15"/>
  <cols>
    <col width="57" customWidth="1" min="1" max="1"/>
    <col width="25" customWidth="1" min="2" max="2"/>
    <col width="30" customWidth="1" min="3" max="3"/>
    <col width="75" customWidth="1" min="4" max="4"/>
    <col width="20" customWidth="1" min="5" max="5"/>
    <col width="14" customWidth="1" min="6" max="6"/>
    <col width="20" customWidth="1" min="7" max="7"/>
  </cols>
  <sheetData>
    <row r="1" ht="28" customHeight="1">
      <c r="A1" s="1" t="inlineStr">
        <is>
          <t>FUNCTIONAL REQUIREMENTS MATRIX (FR)</t>
        </is>
      </c>
    </row>
    <row r="2" ht="18" customHeight="1">
      <c r="A2" s="2" t="inlineStr">
        <is>
          <t>Detailed functional breakdown across platform modules.</t>
        </is>
      </c>
    </row>
    <row r="3"/>
    <row r="4" ht="24" customHeight="1">
      <c r="A4" s="9" t="inlineStr">
        <is>
          <t>Requirement ID</t>
        </is>
      </c>
      <c r="B4" s="9" t="inlineStr">
        <is>
          <t>Functional Module</t>
        </is>
      </c>
      <c r="C4" s="9" t="inlineStr">
        <is>
          <t>Feature Name</t>
        </is>
      </c>
      <c r="D4" s="9" t="inlineStr">
        <is>
          <t>Detailed User Story &amp; Specification</t>
        </is>
      </c>
      <c r="E4" s="9" t="inlineStr">
        <is>
          <t>Priority (MoSCoW)</t>
        </is>
      </c>
      <c r="F4" s="9" t="inlineStr">
        <is>
          <t>Complexity</t>
        </is>
      </c>
      <c r="G4" s="9" t="inlineStr">
        <is>
          <t>Sprint Allocation</t>
        </is>
      </c>
    </row>
    <row r="5" ht="26" customHeight="1">
      <c r="A5" s="11" t="inlineStr">
        <is>
          <t>FR-LMS-01</t>
        </is>
      </c>
      <c r="B5" s="11" t="inlineStr">
        <is>
          <t>Course Engine</t>
        </is>
      </c>
      <c r="C5" s="10" t="inlineStr">
        <is>
          <t>Interactive Video Lessons</t>
        </is>
      </c>
      <c r="D5" s="10" t="inlineStr">
        <is>
          <t>System shall stream adaptive bitrate video with interactive timestamped quizzes and student notes.</t>
        </is>
      </c>
      <c r="E5" s="11" t="inlineStr">
        <is>
          <t>Must-Have</t>
        </is>
      </c>
      <c r="F5" s="11" t="inlineStr">
        <is>
          <t>Medium</t>
        </is>
      </c>
      <c r="G5" s="11" t="inlineStr">
        <is>
          <t>Sprint 1</t>
        </is>
      </c>
    </row>
    <row r="6" ht="26" customHeight="1">
      <c r="A6" s="13" t="inlineStr">
        <is>
          <t>FR-LMS-02</t>
        </is>
      </c>
      <c r="B6" s="13" t="inlineStr">
        <is>
          <t>Course Engine</t>
        </is>
      </c>
      <c r="C6" s="12" t="inlineStr">
        <is>
          <t>Offline Mobile Downloads</t>
        </is>
      </c>
      <c r="D6" s="12" t="inlineStr">
        <is>
          <t>Mobile app shall securely download encrypted video lessons for offline study with automated license expiry.</t>
        </is>
      </c>
      <c r="E6" s="13" t="inlineStr">
        <is>
          <t>Must-Have</t>
        </is>
      </c>
      <c r="F6" s="13" t="inlineStr">
        <is>
          <t>High</t>
        </is>
      </c>
      <c r="G6" s="13" t="inlineStr">
        <is>
          <t>Sprint 3</t>
        </is>
      </c>
    </row>
    <row r="7" ht="26" customHeight="1">
      <c r="A7" s="11" t="inlineStr">
        <is>
          <t>FR-PRC-01</t>
        </is>
      </c>
      <c r="B7" s="11" t="inlineStr">
        <is>
          <t>AI Proctoring</t>
        </is>
      </c>
      <c r="C7" s="10" t="inlineStr">
        <is>
          <t>Face &amp; Gaze Tracking</t>
        </is>
      </c>
      <c r="D7" s="10" t="inlineStr">
        <is>
          <t>System shall detect multiple faces, continuous gaze divergence, and absent test-taker via client-side WebAssembly AI.</t>
        </is>
      </c>
      <c r="E7" s="11" t="inlineStr">
        <is>
          <t>Must-Have</t>
        </is>
      </c>
      <c r="F7" s="11" t="inlineStr">
        <is>
          <t>High</t>
        </is>
      </c>
      <c r="G7" s="11" t="inlineStr">
        <is>
          <t>Sprint 4</t>
        </is>
      </c>
    </row>
    <row r="8" ht="26" customHeight="1">
      <c r="A8" s="13" t="inlineStr">
        <is>
          <t>FR-PRC-02</t>
        </is>
      </c>
      <c r="B8" s="13" t="inlineStr">
        <is>
          <t>AI Proctoring</t>
        </is>
      </c>
      <c r="C8" s="12" t="inlineStr">
        <is>
          <t>Acoustic Anomaly Flagging</t>
        </is>
      </c>
      <c r="D8" s="12" t="inlineStr">
        <is>
          <t>System shall analyze ambient microphone audio for whispered speech or secondary device audio during exams.</t>
        </is>
      </c>
      <c r="E8" s="13" t="inlineStr">
        <is>
          <t>Must-Have</t>
        </is>
      </c>
      <c r="F8" s="13" t="inlineStr">
        <is>
          <t>High</t>
        </is>
      </c>
      <c r="G8" s="13" t="inlineStr">
        <is>
          <t>Sprint 5</t>
        </is>
      </c>
    </row>
    <row r="9" ht="26" customHeight="1">
      <c r="A9" s="11" t="inlineStr">
        <is>
          <t>FR-EXM-01</t>
        </is>
      </c>
      <c r="B9" s="11" t="inlineStr">
        <is>
          <t>Assessment Studio</t>
        </is>
      </c>
      <c r="C9" s="10" t="inlineStr">
        <is>
          <t>Automated Exam Grading</t>
        </is>
      </c>
      <c r="D9" s="10" t="inlineStr">
        <is>
          <t>System shall auto-grade multiple choice, code executions, and forward essay questions to rubric grading dashboard.</t>
        </is>
      </c>
      <c r="E9" s="11" t="inlineStr">
        <is>
          <t>Must-Have</t>
        </is>
      </c>
      <c r="F9" s="11" t="inlineStr">
        <is>
          <t>Medium</t>
        </is>
      </c>
      <c r="G9" s="11" t="inlineStr">
        <is>
          <t>Sprint 6</t>
        </is>
      </c>
    </row>
    <row r="10" ht="26" customHeight="1">
      <c r="A10" s="13" t="inlineStr">
        <is>
          <t>FR-SEC-01</t>
        </is>
      </c>
      <c r="B10" s="13" t="inlineStr">
        <is>
          <t>Integrity &amp; Compliance</t>
        </is>
      </c>
      <c r="C10" s="12" t="inlineStr">
        <is>
          <t>Turnitin Plagiarism Sync</t>
        </is>
      </c>
      <c r="D10" s="12" t="inlineStr">
        <is>
          <t>System shall automatically submit written assignments to Turnitin API and display similarity index report.</t>
        </is>
      </c>
      <c r="E10" s="13" t="inlineStr">
        <is>
          <t>Must-Have</t>
        </is>
      </c>
      <c r="F10" s="13" t="inlineStr">
        <is>
          <t>Medium</t>
        </is>
      </c>
      <c r="G10" s="13" t="inlineStr">
        <is>
          <t>Sprint 7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1" workbookViewId="0">
      <selection activeCell="A1" sqref="A1"/>
    </sheetView>
  </sheetViews>
  <sheetFormatPr baseColWidth="8" defaultRowHeight="15"/>
  <cols>
    <col width="72" customWidth="1" min="1" max="1"/>
    <col width="36" customWidth="1" min="2" max="2"/>
    <col width="14" customWidth="1" min="3" max="3"/>
    <col width="75" customWidth="1" min="4" max="4"/>
    <col width="24" customWidth="1" min="5" max="5"/>
    <col width="28" customWidth="1" min="6" max="6"/>
  </cols>
  <sheetData>
    <row r="1" ht="28" customHeight="1">
      <c r="A1" s="1" t="inlineStr">
        <is>
          <t>TECHNICAL ARCHITECTURE &amp; TECHNOLOGY STACK</t>
        </is>
      </c>
    </row>
    <row r="2" ht="18" customHeight="1">
      <c r="A2" s="2" t="inlineStr">
        <is>
          <t>Tiered architecture, technology choices, and architectural rationale.</t>
        </is>
      </c>
    </row>
    <row r="3"/>
    <row r="4" ht="24" customHeight="1">
      <c r="A4" s="9" t="inlineStr">
        <is>
          <t>Architecture Tier</t>
        </is>
      </c>
      <c r="B4" s="9" t="inlineStr">
        <is>
          <t>Component / Framework</t>
        </is>
      </c>
      <c r="C4" s="9" t="inlineStr">
        <is>
          <t>Version</t>
        </is>
      </c>
      <c r="D4" s="9" t="inlineStr">
        <is>
          <t>Selection Rationale &amp; Technical Justification</t>
        </is>
      </c>
      <c r="E4" s="9" t="inlineStr">
        <is>
          <t>Licensing &amp; Hosting</t>
        </is>
      </c>
      <c r="F4" s="9" t="inlineStr">
        <is>
          <t>High Availability</t>
        </is>
      </c>
    </row>
    <row r="5" ht="28" customHeight="1">
      <c r="A5" s="11" t="inlineStr">
        <is>
          <t>Web Learning Portal</t>
        </is>
      </c>
      <c r="B5" s="10" t="inlineStr">
        <is>
          <t>Next.js 15 (React 19, TypeScript)</t>
        </is>
      </c>
      <c r="C5" s="11" t="inlineStr">
        <is>
          <t>15.0+</t>
        </is>
      </c>
      <c r="D5" s="10" t="inlineStr">
        <is>
          <t>Server-side rendering, accessible WCAG 2.1 AA UI components, Tailwind CSS.</t>
        </is>
      </c>
      <c r="E5" s="11" t="inlineStr">
        <is>
          <t>Open Source / AWS</t>
        </is>
      </c>
      <c r="F5" s="11" t="inlineStr">
        <is>
          <t>Global CloudFront CDN</t>
        </is>
      </c>
    </row>
    <row r="6" ht="28" customHeight="1">
      <c r="A6" s="13" t="inlineStr">
        <is>
          <t>Student Mobile App</t>
        </is>
      </c>
      <c r="B6" s="12" t="inlineStr">
        <is>
          <t>React Native (Expo SDK 52)</t>
        </is>
      </c>
      <c r="C6" s="13" t="inlineStr">
        <is>
          <t>0.76+</t>
        </is>
      </c>
      <c r="D6" s="12" t="inlineStr">
        <is>
          <t>Cross-platform iOS and Android with background download manager and SQLite storage.</t>
        </is>
      </c>
      <c r="E6" s="13" t="inlineStr">
        <is>
          <t>Open Source</t>
        </is>
      </c>
      <c r="F6" s="13" t="inlineStr">
        <is>
          <t>Encrypted Offline Storage</t>
        </is>
      </c>
    </row>
    <row r="7" ht="28" customHeight="1">
      <c r="A7" s="11" t="inlineStr">
        <is>
          <t>Core LMS Microservices</t>
        </is>
      </c>
      <c r="B7" s="10" t="inlineStr">
        <is>
          <t>Node.js (NestJS) &amp; Go</t>
        </is>
      </c>
      <c r="C7" s="11" t="inlineStr">
        <is>
          <t>20.x / 1.23</t>
        </is>
      </c>
      <c r="D7" s="10" t="inlineStr">
        <is>
          <t>Modular enterprise microservices with high concurrent exam submission throughput.</t>
        </is>
      </c>
      <c r="E7" s="11" t="inlineStr">
        <is>
          <t>Open Source / AWS EKS</t>
        </is>
      </c>
      <c r="F7" s="11" t="inlineStr">
        <is>
          <t>Auto-scaling Pods (3-20)</t>
        </is>
      </c>
    </row>
    <row r="8" ht="28" customHeight="1">
      <c r="A8" s="13" t="inlineStr">
        <is>
          <t>AI Proctoring Engine</t>
        </is>
      </c>
      <c r="B8" s="12" t="inlineStr">
        <is>
          <t>ONNX Runtime &amp; WebAssembly</t>
        </is>
      </c>
      <c r="C8" s="13" t="inlineStr">
        <is>
          <t>1.19+</t>
        </is>
      </c>
      <c r="D8" s="12" t="inlineStr">
        <is>
          <t>Client-side edge inference for zero-latency facial landmark and gaze detection.</t>
        </is>
      </c>
      <c r="E8" s="13" t="inlineStr">
        <is>
          <t>Open Source Edge AI</t>
        </is>
      </c>
      <c r="F8" s="13" t="inlineStr">
        <is>
          <t>Zero server video storage</t>
        </is>
      </c>
    </row>
    <row r="9" ht="28" customHeight="1">
      <c r="A9" s="11" t="inlineStr">
        <is>
          <t>Relational Database</t>
        </is>
      </c>
      <c r="B9" s="10" t="inlineStr">
        <is>
          <t>PostgreSQL (AWS Aurora)</t>
        </is>
      </c>
      <c r="C9" s="11" t="inlineStr">
        <is>
          <t>16.x</t>
        </is>
      </c>
      <c r="D9" s="10" t="inlineStr">
        <is>
          <t>ACID transactional compliance for student enrollments and gradebook records.</t>
        </is>
      </c>
      <c r="E9" s="11" t="inlineStr">
        <is>
          <t>AWS Aurora Multi-AZ</t>
        </is>
      </c>
      <c r="F9" s="11" t="inlineStr">
        <is>
          <t>Automated Read Replicas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7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30" customWidth="1" min="2" max="2"/>
    <col width="75" customWidth="1" min="3" max="3"/>
    <col width="51" customWidth="1" min="4" max="4"/>
    <col width="53" customWidth="1" min="5" max="5"/>
    <col width="21" customWidth="1" min="6" max="6"/>
  </cols>
  <sheetData>
    <row r="1" ht="28" customHeight="1">
      <c r="A1" s="1" t="inlineStr">
        <is>
          <t>NON-FUNCTIONAL REQUIREMENTS (NFR) &amp; ARCHITECTURAL BASELINE</t>
        </is>
      </c>
    </row>
    <row r="2" ht="18" customHeight="1">
      <c r="A2" s="2" t="inlineStr">
        <is>
          <t>Performance SLAs, system availability, data security, and disaster recovery.</t>
        </is>
      </c>
    </row>
    <row r="3"/>
    <row r="4" ht="24" customHeight="1">
      <c r="A4" s="9" t="inlineStr">
        <is>
          <t>NFR ID</t>
        </is>
      </c>
      <c r="B4" s="9" t="inlineStr">
        <is>
          <t>Quality Attribute</t>
        </is>
      </c>
      <c r="C4" s="9" t="inlineStr">
        <is>
          <t>Target Metric / Specification</t>
        </is>
      </c>
      <c r="D4" s="9" t="inlineStr">
        <is>
          <t>Measurement Methodology</t>
        </is>
      </c>
      <c r="E4" s="9" t="inlineStr">
        <is>
          <t>Architecture Enforcement Mechanism</t>
        </is>
      </c>
      <c r="F4" s="9" t="inlineStr">
        <is>
          <t>Verification Phase</t>
        </is>
      </c>
    </row>
    <row r="5" ht="28" customHeight="1">
      <c r="A5" s="11" t="inlineStr">
        <is>
          <t>NFR-PERF-01</t>
        </is>
      </c>
      <c r="B5" s="11" t="inlineStr">
        <is>
          <t>Concurrent Exam Concurrency</t>
        </is>
      </c>
      <c r="C5" s="10" t="inlineStr">
        <is>
          <t>Support 20,000 concurrent exam takers submitting responses with P95 latency &lt; 300ms.</t>
        </is>
      </c>
      <c r="D5" s="10" t="inlineStr">
        <is>
          <t>k6 load test simulating national finals week.</t>
        </is>
      </c>
      <c r="E5" s="10" t="inlineStr">
        <is>
          <t>Redis cluster caching and async queue worker pods.</t>
        </is>
      </c>
      <c r="F5" s="11" t="inlineStr">
        <is>
          <t>Sprint 9</t>
        </is>
      </c>
    </row>
    <row r="6" ht="28" customHeight="1">
      <c r="A6" s="13" t="inlineStr">
        <is>
          <t>NFR-AVAIL-01</t>
        </is>
      </c>
      <c r="B6" s="13" t="inlineStr">
        <is>
          <t>High Availability</t>
        </is>
      </c>
      <c r="C6" s="12" t="inlineStr">
        <is>
          <t>99.95% system uptime availability during semester exam periods.</t>
        </is>
      </c>
      <c r="D6" s="12" t="inlineStr">
        <is>
          <t>Datadog synthetic probes with auto-healing pods.</t>
        </is>
      </c>
      <c r="E6" s="12" t="inlineStr">
        <is>
          <t>Multi-AZ AWS deployment with auto-failover.</t>
        </is>
      </c>
      <c r="F6" s="13" t="inlineStr">
        <is>
          <t>Production Go-Live</t>
        </is>
      </c>
    </row>
    <row r="7" ht="28" customHeight="1">
      <c r="A7" s="11" t="inlineStr">
        <is>
          <t>NFR-SEC-01</t>
        </is>
      </c>
      <c r="B7" s="11" t="inlineStr">
        <is>
          <t>Student Privacy (FERPA)</t>
        </is>
      </c>
      <c r="C7" s="10" t="inlineStr">
        <is>
          <t>All student telemetry and proctoring metadata encrypted with AES-256; video destroyed post-audit.</t>
        </is>
      </c>
      <c r="D7" s="10" t="inlineStr">
        <is>
          <t>External FERPA and GDPR audit clearance.</t>
        </is>
      </c>
      <c r="E7" s="10" t="inlineStr">
        <is>
          <t>AWS KMS Customer Managed Keys.</t>
        </is>
      </c>
      <c r="F7" s="11" t="inlineStr">
        <is>
          <t>Sprint 8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1" workbookViewId="0">
      <selection activeCell="A1" sqref="A1"/>
    </sheetView>
  </sheetViews>
  <sheetFormatPr baseColWidth="8" defaultRowHeight="15"/>
  <cols>
    <col width="70" customWidth="1" min="1" max="1"/>
    <col width="18" customWidth="1" min="2" max="2"/>
    <col width="20" customWidth="1" min="3" max="3"/>
    <col width="19" customWidth="1" min="4" max="4"/>
    <col width="20" customWidth="1" min="5" max="5"/>
    <col width="55" customWidth="1" min="6" max="6"/>
  </cols>
  <sheetData>
    <row r="1" ht="28" customHeight="1">
      <c r="A1" s="1" t="inlineStr">
        <is>
          <t>STANDARD PROFESSIONAL SERVICES RATE CARD</t>
        </is>
      </c>
    </row>
    <row r="2" ht="18" customHeight="1">
      <c r="A2" s="2" t="inlineStr">
        <is>
          <t>Standard hourly and daily rates by seniority and role (USD ex Tax).</t>
        </is>
      </c>
    </row>
    <row r="3"/>
    <row r="4" ht="24" customHeight="1">
      <c r="A4" s="9" t="inlineStr">
        <is>
          <t>Role Title</t>
        </is>
      </c>
      <c r="B4" s="9" t="inlineStr">
        <is>
          <t>Seniority Level</t>
        </is>
      </c>
      <c r="C4" s="9" t="inlineStr">
        <is>
          <t>Hourly Rate (USD)</t>
        </is>
      </c>
      <c r="D4" s="9" t="inlineStr">
        <is>
          <t>Daily Rate (USD)</t>
        </is>
      </c>
      <c r="E4" s="9" t="inlineStr">
        <is>
          <t>Weekly Rate (USD)</t>
        </is>
      </c>
      <c r="F4" s="9" t="inlineStr">
        <is>
          <t>Typical Experience Profile</t>
        </is>
      </c>
    </row>
    <row r="5" ht="24" customHeight="1">
      <c r="A5" s="10" t="inlineStr">
        <is>
          <t>Solution Architect</t>
        </is>
      </c>
      <c r="B5" s="15" t="inlineStr">
        <is>
          <t>Principal</t>
        </is>
      </c>
      <c r="C5" s="17" t="n">
        <v>87.5</v>
      </c>
      <c r="D5" s="17" t="n">
        <v>700</v>
      </c>
      <c r="E5" s="17" t="n">
        <v>3500</v>
      </c>
      <c r="F5" s="10" t="inlineStr">
        <is>
          <t>12+ yrs enterprise architecture, cloud certified</t>
        </is>
      </c>
    </row>
    <row r="6" ht="24" customHeight="1">
      <c r="A6" s="12" t="inlineStr">
        <is>
          <t>Project Manager / Scrum Master</t>
        </is>
      </c>
      <c r="B6" s="16" t="inlineStr">
        <is>
          <t>Senior</t>
        </is>
      </c>
      <c r="C6" s="18" t="n">
        <v>68.75</v>
      </c>
      <c r="D6" s="18" t="n">
        <v>550</v>
      </c>
      <c r="E6" s="18" t="n">
        <v>2750</v>
      </c>
      <c r="F6" s="12" t="inlineStr">
        <is>
          <t>8+ yrs Agile management, PMP / PMI-ACP</t>
        </is>
      </c>
    </row>
    <row r="7" ht="24" customHeight="1">
      <c r="A7" s="10" t="inlineStr">
        <is>
          <t>Technical Lead</t>
        </is>
      </c>
      <c r="B7" s="15" t="inlineStr">
        <is>
          <t>Lead</t>
        </is>
      </c>
      <c r="C7" s="17" t="n">
        <v>75</v>
      </c>
      <c r="D7" s="17" t="n">
        <v>600</v>
      </c>
      <c r="E7" s="17" t="n">
        <v>3000</v>
      </c>
      <c r="F7" s="10" t="inlineStr">
        <is>
          <t>10+ yrs distributed systems, code quality governance</t>
        </is>
      </c>
    </row>
    <row r="8" ht="24" customHeight="1">
      <c r="A8" s="12" t="inlineStr">
        <is>
          <t>Senior Backend Engineer</t>
        </is>
      </c>
      <c r="B8" s="16" t="inlineStr">
        <is>
          <t>Senior</t>
        </is>
      </c>
      <c r="C8" s="18" t="n">
        <v>60</v>
      </c>
      <c r="D8" s="18" t="n">
        <v>480</v>
      </c>
      <c r="E8" s="18" t="n">
        <v>2400</v>
      </c>
      <c r="F8" s="12" t="inlineStr">
        <is>
          <t>6+ yrs microservices, database performance, APIs</t>
        </is>
      </c>
    </row>
    <row r="9" ht="24" customHeight="1">
      <c r="A9" s="10" t="inlineStr">
        <is>
          <t>Senior Frontend Engineer</t>
        </is>
      </c>
      <c r="B9" s="15" t="inlineStr">
        <is>
          <t>Senior</t>
        </is>
      </c>
      <c r="C9" s="17" t="n">
        <v>57.5</v>
      </c>
      <c r="D9" s="17" t="n">
        <v>460</v>
      </c>
      <c r="E9" s="17" t="n">
        <v>2300</v>
      </c>
      <c r="F9" s="10" t="inlineStr">
        <is>
          <t>6+ yrs modern React, SSR, UI/UX implementation</t>
        </is>
      </c>
    </row>
    <row r="10" ht="24" customHeight="1">
      <c r="A10" s="12" t="inlineStr">
        <is>
          <t>Senior Mobile Engineer</t>
        </is>
      </c>
      <c r="B10" s="16" t="inlineStr">
        <is>
          <t>Senior</t>
        </is>
      </c>
      <c r="C10" s="18" t="n">
        <v>60</v>
      </c>
      <c r="D10" s="18" t="n">
        <v>480</v>
      </c>
      <c r="E10" s="18" t="n">
        <v>2400</v>
      </c>
      <c r="F10" s="12" t="inlineStr">
        <is>
          <t>6+ yrs native &amp; Flutter, offline sync, hardware APIs</t>
        </is>
      </c>
    </row>
    <row r="11" ht="24" customHeight="1">
      <c r="A11" s="10" t="inlineStr">
        <is>
          <t>QA / Automation Test Lead</t>
        </is>
      </c>
      <c r="B11" s="15" t="inlineStr">
        <is>
          <t>Senior</t>
        </is>
      </c>
      <c r="C11" s="17" t="n">
        <v>50</v>
      </c>
      <c r="D11" s="17" t="n">
        <v>400</v>
      </c>
      <c r="E11" s="17" t="n">
        <v>2000</v>
      </c>
      <c r="F11" s="10" t="inlineStr">
        <is>
          <t>7+ yrs test automation, Cypress, load testing</t>
        </is>
      </c>
    </row>
    <row r="12" ht="24" customHeight="1">
      <c r="A12" s="12" t="inlineStr">
        <is>
          <t>UI/UX Product Designer</t>
        </is>
      </c>
      <c r="B12" s="16" t="inlineStr">
        <is>
          <t>Senior</t>
        </is>
      </c>
      <c r="C12" s="18" t="n">
        <v>52.5</v>
      </c>
      <c r="D12" s="18" t="n">
        <v>420</v>
      </c>
      <c r="E12" s="18" t="n">
        <v>2100</v>
      </c>
      <c r="F12" s="12" t="inlineStr">
        <is>
          <t>7+ yrs enterprise design systems, usability testing</t>
        </is>
      </c>
    </row>
    <row r="13" ht="24" customHeight="1">
      <c r="A13" s="10" t="inlineStr">
        <is>
          <t>DevOps / Cloud Engineer</t>
        </is>
      </c>
      <c r="B13" s="15" t="inlineStr">
        <is>
          <t>Senior</t>
        </is>
      </c>
      <c r="C13" s="17" t="n">
        <v>65</v>
      </c>
      <c r="D13" s="17" t="n">
        <v>520</v>
      </c>
      <c r="E13" s="17" t="n">
        <v>2600</v>
      </c>
      <c r="F13" s="10" t="inlineStr">
        <is>
          <t>6+ yrs AWS/GCP, Kubernetes, Terraform IaC</t>
        </is>
      </c>
    </row>
    <row r="14" ht="24" customHeight="1">
      <c r="A14" s="12" t="inlineStr">
        <is>
          <t>Business Analyst</t>
        </is>
      </c>
      <c r="B14" s="16" t="inlineStr">
        <is>
          <t>Senior</t>
        </is>
      </c>
      <c r="C14" s="18" t="n">
        <v>55</v>
      </c>
      <c r="D14" s="18" t="n">
        <v>440</v>
      </c>
      <c r="E14" s="18" t="n">
        <v>2200</v>
      </c>
      <c r="F14" s="12" t="inlineStr">
        <is>
          <t>6+ yrs domain workflows, specification sign-off</t>
        </is>
      </c>
    </row>
    <row r="15" ht="24" customHeight="1">
      <c r="A15" s="10" t="inlineStr">
        <is>
          <t>Security &amp; Compliance Specialist</t>
        </is>
      </c>
      <c r="B15" s="15" t="inlineStr">
        <is>
          <t>Lead</t>
        </is>
      </c>
      <c r="C15" s="17" t="n">
        <v>85</v>
      </c>
      <c r="D15" s="17" t="n">
        <v>680</v>
      </c>
      <c r="E15" s="17" t="n">
        <v>3400</v>
      </c>
      <c r="F15" s="10" t="inlineStr">
        <is>
          <t>10+ yrs cybersecurity, SOC2/PCI/HIPAA audit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9"/>
  <sheetViews>
    <sheetView showGridLines="1" workbookViewId="0">
      <selection activeCell="A1" sqref="A1"/>
    </sheetView>
  </sheetViews>
  <sheetFormatPr baseColWidth="8" defaultRowHeight="15"/>
  <cols>
    <col width="75" customWidth="1" min="1" max="1"/>
    <col width="55" customWidth="1" min="2" max="2"/>
    <col width="16" customWidth="1" min="3" max="3"/>
    <col width="20" customWidth="1" min="4" max="4"/>
    <col width="75" customWidth="1" min="5" max="5"/>
    <col width="65" customWidth="1" min="6" max="6"/>
    <col width="25" customWidth="1" min="7" max="7"/>
  </cols>
  <sheetData>
    <row r="1" ht="28" customHeight="1">
      <c r="A1" s="1" t="inlineStr">
        <is>
          <t>MACRO IMPLEMENTATION PLAN &amp; DETAILED COMMERCIAL QUOTATION</t>
        </is>
      </c>
    </row>
    <row r="2" ht="18" customHeight="1">
      <c r="A2" s="2" t="inlineStr">
        <is>
          <t>Phased timeline, Work Breakdown Structure (WBS), Quotation, and Milestone Gates.</t>
        </is>
      </c>
    </row>
    <row r="3"/>
    <row r="4" ht="24" customHeight="1">
      <c r="A4" s="3" t="inlineStr">
        <is>
          <t>1. PHASED MACRO ROADMAP &amp; DELIVERABLE MILESTONES (20 WEEKS)</t>
        </is>
      </c>
    </row>
    <row r="5" ht="24" customHeight="1">
      <c r="A5" s="9" t="inlineStr">
        <is>
          <t>Phase #</t>
        </is>
      </c>
      <c r="B5" s="9" t="inlineStr">
        <is>
          <t>Phase Name &amp; Objective</t>
        </is>
      </c>
      <c r="C5" s="9" t="inlineStr">
        <is>
          <t>Start (Wk)</t>
        </is>
      </c>
      <c r="D5" s="9" t="inlineStr">
        <is>
          <t>Duration</t>
        </is>
      </c>
      <c r="E5" s="9" t="inlineStr">
        <is>
          <t>Key Activities &amp; Milestones</t>
        </is>
      </c>
      <c r="F5" s="9" t="inlineStr">
        <is>
          <t>Primary Deliverables</t>
        </is>
      </c>
      <c r="G5" s="9" t="inlineStr">
        <is>
          <t>Gate Sign-off</t>
        </is>
      </c>
    </row>
    <row r="6" ht="30" customHeight="1">
      <c r="A6" s="13" t="inlineStr">
        <is>
          <t>Phase 1</t>
        </is>
      </c>
      <c r="B6" s="12" t="inlineStr">
        <is>
          <t>Inception, Architecture &amp; UX Design</t>
        </is>
      </c>
      <c r="C6" s="13" t="inlineStr">
        <is>
          <t>Week 1</t>
        </is>
      </c>
      <c r="D6" s="13" t="inlineStr">
        <is>
          <t>3 Weeks</t>
        </is>
      </c>
      <c r="E6" s="12" t="inlineStr">
        <is>
          <t>Requirements finalization, Figma UI design system, proctoring algorithm proof of concept.</t>
        </is>
      </c>
      <c r="F6" s="12" t="inlineStr">
        <is>
          <t>Architecture Blueprint, Interactive Figma Prototype</t>
        </is>
      </c>
      <c r="G6" s="13" t="inlineStr">
        <is>
          <t>Milestone 1 Sign-off</t>
        </is>
      </c>
    </row>
    <row r="7" ht="30" customHeight="1">
      <c r="A7" s="11" t="inlineStr">
        <is>
          <t>Phase 2</t>
        </is>
      </c>
      <c r="B7" s="10" t="inlineStr">
        <is>
          <t>Core LMS Portal &amp; Course Delivery Engine</t>
        </is>
      </c>
      <c r="C7" s="11" t="inlineStr">
        <is>
          <t>Week 4</t>
        </is>
      </c>
      <c r="D7" s="11" t="inlineStr">
        <is>
          <t>6 Weeks</t>
        </is>
      </c>
      <c r="E7" s="10" t="inlineStr">
        <is>
          <t>Develop course player, enrollment workflows, assignment submissions, video transcoding.</t>
        </is>
      </c>
      <c r="F7" s="10" t="inlineStr">
        <is>
          <t>LMS Portal in Staging, Video Player Demo</t>
        </is>
      </c>
      <c r="G7" s="11" t="inlineStr">
        <is>
          <t>Milestone 2 Sign-off</t>
        </is>
      </c>
    </row>
    <row r="8" ht="30" customHeight="1">
      <c r="A8" s="13" t="inlineStr">
        <is>
          <t>Phase 3</t>
        </is>
      </c>
      <c r="B8" s="12" t="inlineStr">
        <is>
          <t>AI Proctoring Engine &amp; Mobile Learning App</t>
        </is>
      </c>
      <c r="C8" s="13" t="inlineStr">
        <is>
          <t>Week 10</t>
        </is>
      </c>
      <c r="D8" s="13" t="inlineStr">
        <is>
          <t>6 Weeks</t>
        </is>
      </c>
      <c r="E8" s="12" t="inlineStr">
        <is>
          <t>Develop client-side proctoring engine, lockdown exam browser, React Native mobile apps.</t>
        </is>
      </c>
      <c r="F8" s="12" t="inlineStr">
        <is>
          <t>Proctoring Test Suite, TestFlight Mobile Build</t>
        </is>
      </c>
      <c r="G8" s="13" t="inlineStr">
        <is>
          <t>Milestone 3 Sign-off</t>
        </is>
      </c>
    </row>
    <row r="9" ht="30" customHeight="1">
      <c r="A9" s="11" t="inlineStr">
        <is>
          <t>Phase 4</t>
        </is>
      </c>
      <c r="B9" s="10" t="inlineStr">
        <is>
          <t>Load Testing, Security Pentest &amp; Pilot Trial</t>
        </is>
      </c>
      <c r="C9" s="11" t="inlineStr">
        <is>
          <t>Week 16</t>
        </is>
      </c>
      <c r="D9" s="11" t="inlineStr">
        <is>
          <t>3 Weeks</t>
        </is>
      </c>
      <c r="E9" s="10" t="inlineStr">
        <is>
          <t>20,000 concurrent user load test, security penetration test, trial exams with 500 students.</t>
        </is>
      </c>
      <c r="F9" s="10" t="inlineStr">
        <is>
          <t>Load Test Report, Security Clearance, UAT Sign-off</t>
        </is>
      </c>
      <c r="G9" s="11" t="inlineStr">
        <is>
          <t>Milestone 4 Sign-off</t>
        </is>
      </c>
    </row>
    <row r="10" ht="30" customHeight="1">
      <c r="A10" s="13" t="inlineStr">
        <is>
          <t>Phase 5</t>
        </is>
      </c>
      <c r="B10" s="12" t="inlineStr">
        <is>
          <t>Production Deployment, Rollout &amp; Hypercare</t>
        </is>
      </c>
      <c r="C10" s="13" t="inlineStr">
        <is>
          <t>Week 19</t>
        </is>
      </c>
      <c r="D10" s="13" t="inlineStr">
        <is>
          <t>2 Weeks</t>
        </is>
      </c>
      <c r="E10" s="12" t="inlineStr">
        <is>
          <t>AWS EKS production launch, data migration, 24/7 exam monitoring hypercare.</t>
        </is>
      </c>
      <c r="F10" s="12" t="inlineStr">
        <is>
          <t>Production Handover Runbook, Final Acceptance</t>
        </is>
      </c>
      <c r="G10" s="13" t="inlineStr">
        <is>
          <t>Final Milestone 5 Gate</t>
        </is>
      </c>
    </row>
    <row r="11"/>
    <row r="12" ht="24" customHeight="1">
      <c r="A12" s="3" t="inlineStr">
        <is>
          <t>2. WORK BREAKDOWN STRUCTURE (WBS) &amp; EFFORT ESTIMATION</t>
        </is>
      </c>
    </row>
    <row r="13" ht="24" customHeight="1">
      <c r="A13" s="9" t="inlineStr">
        <is>
          <t>WBS ID</t>
        </is>
      </c>
      <c r="B13" s="9" t="inlineStr">
        <is>
          <t>Deliverable Component</t>
        </is>
      </c>
      <c r="C13" s="9" t="inlineStr">
        <is>
          <t>Est. Man-Days</t>
        </is>
      </c>
      <c r="D13" s="9" t="inlineStr">
        <is>
          <t>Blended Day Rate</t>
        </is>
      </c>
      <c r="E13" s="9" t="inlineStr">
        <is>
          <t>Subtotal (USD)</t>
        </is>
      </c>
      <c r="F13" s="9" t="inlineStr">
        <is>
          <t>Resource Composition</t>
        </is>
      </c>
      <c r="G13" s="9" t="inlineStr">
        <is>
          <t>Billing Type</t>
        </is>
      </c>
    </row>
    <row r="14" ht="24" customHeight="1">
      <c r="A14" s="16" t="inlineStr">
        <is>
          <t>WBS-01</t>
        </is>
      </c>
      <c r="B14" s="12" t="inlineStr">
        <is>
          <t>Phase 1: Architecture, Inception &amp; UI/UX Design</t>
        </is>
      </c>
      <c r="C14" s="16" t="n">
        <v>36</v>
      </c>
      <c r="D14" s="18" t="n">
        <v>625</v>
      </c>
      <c r="E14" s="18" t="n">
        <v>22500</v>
      </c>
      <c r="F14" s="12" t="inlineStr">
        <is>
          <t>Solution Architect (10d), PM (8d), Tech Lead (8d), UI/UX (10d)</t>
        </is>
      </c>
      <c r="G14" s="16" t="inlineStr">
        <is>
          <t>Fixed Milestone</t>
        </is>
      </c>
    </row>
    <row r="15" ht="24" customHeight="1">
      <c r="A15" s="15" t="inlineStr">
        <is>
          <t>WBS-02</t>
        </is>
      </c>
      <c r="B15" s="10" t="inlineStr">
        <is>
          <t>Phase 2: Core LMS Portal &amp; Assessment Engine</t>
        </is>
      </c>
      <c r="C15" s="15" t="n">
        <v>120</v>
      </c>
      <c r="D15" s="17" t="n">
        <v>525</v>
      </c>
      <c r="E15" s="17" t="n">
        <v>63000</v>
      </c>
      <c r="F15" s="10" t="inlineStr">
        <is>
          <t>Backend (50d), Frontend (35d), Tech Lead (15d), QA (20d)</t>
        </is>
      </c>
      <c r="G15" s="15" t="inlineStr">
        <is>
          <t>Fixed Milestone</t>
        </is>
      </c>
    </row>
    <row r="16" ht="24" customHeight="1">
      <c r="A16" s="16" t="inlineStr">
        <is>
          <t>WBS-03</t>
        </is>
      </c>
      <c r="B16" s="12" t="inlineStr">
        <is>
          <t>Phase 3: AI Proctoring Engine &amp; Mobile Learning Apps</t>
        </is>
      </c>
      <c r="C16" s="16" t="n">
        <v>100</v>
      </c>
      <c r="D16" s="18" t="n">
        <v>530</v>
      </c>
      <c r="E16" s="18" t="n">
        <v>53000</v>
      </c>
      <c r="F16" s="12" t="inlineStr">
        <is>
          <t>AI/Mobile (45d), Backend (25d), QA (20d), PM (10d)</t>
        </is>
      </c>
      <c r="G16" s="16" t="inlineStr">
        <is>
          <t>Fixed Milestone</t>
        </is>
      </c>
    </row>
    <row r="17" ht="24" customHeight="1">
      <c r="A17" s="15" t="inlineStr">
        <is>
          <t>WBS-04</t>
        </is>
      </c>
      <c r="B17" s="10" t="inlineStr">
        <is>
          <t>Phase 4: Load Testing, Security Pentest &amp; UAT</t>
        </is>
      </c>
      <c r="C17" s="15" t="n">
        <v>40</v>
      </c>
      <c r="D17" s="17" t="n">
        <v>487.5</v>
      </c>
      <c r="E17" s="17" t="n">
        <v>19500</v>
      </c>
      <c r="F17" s="10" t="inlineStr">
        <is>
          <t>QA Lead (20d), PM (8d), SA (4d), DevOps (8d)</t>
        </is>
      </c>
      <c r="G17" s="15" t="inlineStr">
        <is>
          <t>Fixed Milestone</t>
        </is>
      </c>
    </row>
    <row r="18" ht="24" customHeight="1">
      <c r="A18" s="16" t="inlineStr">
        <is>
          <t>WBS-05</t>
        </is>
      </c>
      <c r="B18" s="12" t="inlineStr">
        <is>
          <t>Phase 5: Production Deployment &amp; Hypercare</t>
        </is>
      </c>
      <c r="C18" s="16" t="n">
        <v>24</v>
      </c>
      <c r="D18" s="18" t="n">
        <v>416.67</v>
      </c>
      <c r="E18" s="18" t="n">
        <v>10000</v>
      </c>
      <c r="F18" s="12" t="inlineStr">
        <is>
          <t>Tech Lead (8d), PM (8d), DevOps (4d), Mobile (4d)</t>
        </is>
      </c>
      <c r="G18" s="16" t="inlineStr">
        <is>
          <t>Fixed Milestone</t>
        </is>
      </c>
    </row>
    <row r="19" ht="26" customHeight="1">
      <c r="A19" s="19" t="inlineStr">
        <is>
          <t>Subtotal Professional Services (320 Man-Days)</t>
        </is>
      </c>
      <c r="B19" s="20" t="n"/>
      <c r="C19" s="20" t="n"/>
      <c r="D19" s="20" t="n"/>
      <c r="E19" s="21">
        <f>SUM(E14:E18)</f>
        <v/>
      </c>
      <c r="F19" s="20" t="n"/>
      <c r="G19" s="20" t="n"/>
    </row>
    <row r="20" ht="26" customHeight="1">
      <c r="A20" s="22" t="inlineStr">
        <is>
          <t>Project Delivery Contingency Buffer (10%)</t>
        </is>
      </c>
      <c r="B20" s="20" t="n"/>
      <c r="C20" s="20" t="n"/>
      <c r="D20" s="20" t="n"/>
      <c r="E20" s="17">
        <f>E19*0.1</f>
        <v/>
      </c>
      <c r="F20" s="20" t="n"/>
      <c r="G20" s="20" t="n"/>
    </row>
    <row r="21" ht="26" customHeight="1">
      <c r="A21" s="23" t="inlineStr">
        <is>
          <t>TOTAL DELIVERY QUOTATION (USD ex GST/Tax)</t>
        </is>
      </c>
      <c r="B21" s="24" t="n"/>
      <c r="C21" s="24" t="n"/>
      <c r="D21" s="24" t="n"/>
      <c r="E21" s="25">
        <f>E19+E20</f>
        <v/>
      </c>
      <c r="F21" s="24" t="n"/>
      <c r="G21" s="24" t="n"/>
    </row>
    <row r="22"/>
    <row r="23" ht="24" customHeight="1">
      <c r="A23" s="3" t="inlineStr">
        <is>
          <t>3. DELIVERABLE-BASED MILESTONE PAYMENT SCHEDULE</t>
        </is>
      </c>
    </row>
    <row r="24" ht="24" customHeight="1">
      <c r="A24" s="9" t="inlineStr">
        <is>
          <t>Milestone #</t>
        </is>
      </c>
      <c r="B24" s="9" t="inlineStr">
        <is>
          <t>Payment Trigger &amp; Deliverable Gate</t>
        </is>
      </c>
      <c r="C24" s="9" t="inlineStr">
        <is>
          <t>% Allocation</t>
        </is>
      </c>
      <c r="D24" s="9" t="inlineStr">
        <is>
          <t>Amount (USD)</t>
        </is>
      </c>
      <c r="E24" s="9" t="inlineStr">
        <is>
          <t>Project Target Date</t>
        </is>
      </c>
      <c r="F24" s="9" t="inlineStr">
        <is>
          <t>Invoice Terms</t>
        </is>
      </c>
    </row>
    <row r="25" ht="24" customHeight="1">
      <c r="A25" s="15" t="inlineStr">
        <is>
          <t>Milestone 1</t>
        </is>
      </c>
      <c r="B25" s="10" t="inlineStr">
        <is>
          <t>Contract Execution &amp; Architecture Sign-off</t>
        </is>
      </c>
      <c r="C25" s="26" t="n">
        <v>0.2</v>
      </c>
      <c r="D25" s="17" t="n">
        <v>36960</v>
      </c>
      <c r="E25" s="15" t="inlineStr">
        <is>
          <t>Nov 16, 2026 (Kick-off)</t>
        </is>
      </c>
      <c r="F25" s="10" t="inlineStr">
        <is>
          <t>Due within 14 days of invoice</t>
        </is>
      </c>
    </row>
    <row r="26" ht="24" customHeight="1">
      <c r="A26" s="16" t="inlineStr">
        <is>
          <t>Milestone 2</t>
        </is>
      </c>
      <c r="B26" s="12" t="inlineStr">
        <is>
          <t>Core LMS Staging Demo &amp; Video Player Gate</t>
        </is>
      </c>
      <c r="C26" s="27" t="n">
        <v>0.25</v>
      </c>
      <c r="D26" s="18" t="n">
        <v>46200</v>
      </c>
      <c r="E26" s="16" t="inlineStr">
        <is>
          <t>Dec 28, 2026 (End Sprint 3)</t>
        </is>
      </c>
      <c r="F26" s="12" t="inlineStr">
        <is>
          <t>Due within 14 days of gate approval</t>
        </is>
      </c>
    </row>
    <row r="27" ht="24" customHeight="1">
      <c r="A27" s="15" t="inlineStr">
        <is>
          <t>Milestone 3</t>
        </is>
      </c>
      <c r="B27" s="10" t="inlineStr">
        <is>
          <t>AI Proctoring &amp; Mobile App Feature Complete</t>
        </is>
      </c>
      <c r="C27" s="26" t="n">
        <v>0.3</v>
      </c>
      <c r="D27" s="17" t="n">
        <v>55440</v>
      </c>
      <c r="E27" s="15" t="inlineStr">
        <is>
          <t>Feb 08, 2027 (End Sprint 6)</t>
        </is>
      </c>
      <c r="F27" s="10" t="inlineStr">
        <is>
          <t>Due within 14 days of gate approval</t>
        </is>
      </c>
    </row>
    <row r="28" ht="24" customHeight="1">
      <c r="A28" s="16" t="inlineStr">
        <is>
          <t>Milestone 4</t>
        </is>
      </c>
      <c r="B28" s="12" t="inlineStr">
        <is>
          <t>Load Test Clearance &amp; 500-Student Pilot Gate</t>
        </is>
      </c>
      <c r="C28" s="27" t="n">
        <v>0.15</v>
      </c>
      <c r="D28" s="18" t="n">
        <v>27720</v>
      </c>
      <c r="E28" s="16" t="inlineStr">
        <is>
          <t>Mar 01, 2027 (End Sprint 8)</t>
        </is>
      </c>
      <c r="F28" s="12" t="inlineStr">
        <is>
          <t>Due within 14 days of gate approval</t>
        </is>
      </c>
    </row>
    <row r="29" ht="24" customHeight="1">
      <c r="A29" s="15" t="inlineStr">
        <is>
          <t>Milestone 5</t>
        </is>
      </c>
      <c r="B29" s="10" t="inlineStr">
        <is>
          <t>Production Go-Live &amp; Semester Final Acceptance</t>
        </is>
      </c>
      <c r="C29" s="26" t="n">
        <v>0.1</v>
      </c>
      <c r="D29" s="17" t="n">
        <v>18480</v>
      </c>
      <c r="E29" s="15" t="inlineStr">
        <is>
          <t>Mar 22, 2027 (Final Gate)</t>
        </is>
      </c>
      <c r="F29" s="10" t="inlineStr">
        <is>
          <t>Due within 30 days of sign-off</t>
        </is>
      </c>
    </row>
  </sheetData>
  <mergeCells count="8">
    <mergeCell ref="A1:G1"/>
    <mergeCell ref="A20:D20"/>
    <mergeCell ref="A12:G12"/>
    <mergeCell ref="A4:G4"/>
    <mergeCell ref="A21:D21"/>
    <mergeCell ref="A2:G2"/>
    <mergeCell ref="A19:D19"/>
    <mergeCell ref="A23:G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2026-10-17T09:07:01Z</dcterms:created>
  <dcterms:modified xsi:type="dcterms:W3CDTF">2026-10-17T09:07:01Z</dcterms:modified>
</cp:coreProperties>
</file>
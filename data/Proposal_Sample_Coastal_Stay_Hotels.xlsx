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Inputs" sheetId="2" state="visible" r:id="rId4"/>
    <sheet name="Scope" sheetId="3" state="visible" r:id="rId5"/>
    <sheet name="Pricing" sheetId="4" state="visible" r:id="rId6"/>
    <sheet name="Timeline" sheetId="5" state="visible" r:id="rId7"/>
    <sheet name="Term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<sst xmlns="http://schemas.openxmlformats.org/spreadsheetml/2006/main" count="217" uniqueCount="168">
  <si>
    <t xml:space="preserve">HOTEL PMS (SaaS) PROPOSAL</t>
  </si>
  <si>
    <t xml:space="preserve">Client</t>
  </si>
  <si>
    <t xml:space="preserve">Project</t>
  </si>
  <si>
    <t xml:space="preserve">Proposal ID</t>
  </si>
  <si>
    <t xml:space="preserve">Date</t>
  </si>
  <si>
    <t xml:space="preserve">Presale lead</t>
  </si>
  <si>
    <t xml:space="preserve">Valid for (days)</t>
  </si>
  <si>
    <t xml:space="preserve">SUMMARY</t>
  </si>
  <si>
    <t xml:space="preserve">Properties</t>
  </si>
  <si>
    <t xml:space="preserve">Total rooms</t>
  </si>
  <si>
    <t xml:space="preserve">Subscription Year 1 (AUD ex GST)</t>
  </si>
  <si>
    <t xml:space="preserve">One-off services, net (AUD ex GST)</t>
  </si>
  <si>
    <t xml:space="preserve">Total Year 1 (AUD ex GST)</t>
  </si>
  <si>
    <t xml:space="preserve">Total Year 1 (AUD inc GST)</t>
  </si>
  <si>
    <t xml:space="preserve">3-year total (AUD ex GST)</t>
  </si>
  <si>
    <t xml:space="preserve">Implementation duration (weeks)</t>
  </si>
  <si>
    <t xml:space="preserve">WHY THIS SOLUTION</t>
  </si>
  <si>
    <t xml:space="preserve">• One cloud PMS across all three hotels, no on-site servers to maintain.</t>
  </si>
  <si>
    <t xml:space="preserve">• Two-way channel manager removes double bookings and manual rate updates.</t>
  </si>
  <si>
    <t xml:space="preserve">• Mobile housekeeping and automated night audit save daily staff time.</t>
  </si>
  <si>
    <t xml:space="preserve">• Group dashboard gives head office live numbers across every property.</t>
  </si>
  <si>
    <t xml:space="preserve">• Phased roll-out starting with a pilot hotel and avoiding the peak season.</t>
  </si>
  <si>
    <t xml:space="preserve">See sheets: Scope, Pricing, Timeline, Terms. Change inputs in the Inputs sheet and everything updates.</t>
  </si>
  <si>
    <t xml:space="preserve">INPUTS (blue text / yellow fill = editable)</t>
  </si>
  <si>
    <t xml:space="preserve">Parameter</t>
  </si>
  <si>
    <t xml:space="preserve">Value</t>
  </si>
  <si>
    <t xml:space="preserve">Coastal Stay Hotels Pty Ltd</t>
  </si>
  <si>
    <t xml:space="preserve">Cloud Hotel PMS (SaaS) – 3 properties</t>
  </si>
  <si>
    <t xml:space="preserve">PRP-PMS-2026-002</t>
  </si>
  <si>
    <t xml:space="preserve">Proposal date</t>
  </si>
  <si>
    <t xml:space="preserve">Presale A</t>
  </si>
  <si>
    <t xml:space="preserve">Day rate (AUD ex GST)</t>
  </si>
  <si>
    <t xml:space="preserve">GST rate</t>
  </si>
  <si>
    <t xml:space="preserve">Implementation discount</t>
  </si>
  <si>
    <t xml:space="preserve">Premium support (% of annual subscription)</t>
  </si>
  <si>
    <t xml:space="preserve">Services contingency (% of B + C)</t>
  </si>
  <si>
    <t xml:space="preserve">Annual price increase cap (CPI assumption)</t>
  </si>
  <si>
    <t xml:space="preserve">Subscription term (months, per year)</t>
  </si>
  <si>
    <t xml:space="preserve">Day rate, subscription prices, discount and support % are presale assumptions for illustration. Confirm with Sales/Finance before sending.</t>
  </si>
  <si>
    <t xml:space="preserve">SCOPE</t>
  </si>
  <si>
    <t xml:space="preserve">1. Properties</t>
  </si>
  <si>
    <t xml:space="preserve">#</t>
  </si>
  <si>
    <t xml:space="preserve">Property</t>
  </si>
  <si>
    <t xml:space="preserve">Location</t>
  </si>
  <si>
    <t xml:space="preserve">Rooms</t>
  </si>
  <si>
    <t xml:space="preserve">Go-live wave</t>
  </si>
  <si>
    <t xml:space="preserve">Byron Bay</t>
  </si>
  <si>
    <t xml:space="preserve">NSW</t>
  </si>
  <si>
    <t xml:space="preserve">Wave 1 (pilot)</t>
  </si>
  <si>
    <t xml:space="preserve">Gold Coast</t>
  </si>
  <si>
    <t xml:space="preserve">QLD</t>
  </si>
  <si>
    <t xml:space="preserve">Wave 2</t>
  </si>
  <si>
    <t xml:space="preserve">Sydney CBD</t>
  </si>
  <si>
    <t xml:space="preserve">Wave 3</t>
  </si>
  <si>
    <t xml:space="preserve">2. Subscription modules</t>
  </si>
  <si>
    <t xml:space="preserve">Module</t>
  </si>
  <si>
    <t xml:space="preserve">Key capabilities</t>
  </si>
  <si>
    <t xml:space="preserve">Core PMS</t>
  </si>
  <si>
    <t xml:space="preserve">Reservations, front desk, folios and billing, rate plans, night audit, GST handling</t>
  </si>
  <si>
    <t xml:space="preserve">Housekeeping &amp; Maintenance</t>
  </si>
  <si>
    <t xml:space="preserve">Mobile room status, task allocation, maintenance tickets, lost property</t>
  </si>
  <si>
    <t xml:space="preserve">Channel Manager</t>
  </si>
  <si>
    <t xml:space="preserve">Two-way sync with Booking.com, Expedia and Airbnb: rates, availability, reservations</t>
  </si>
  <si>
    <t xml:space="preserve">Direct Booking Engine</t>
  </si>
  <si>
    <t xml:space="preserve">Website booking widget, packages and promo codes, payments</t>
  </si>
  <si>
    <t xml:space="preserve">Revenue &amp; Reporting</t>
  </si>
  <si>
    <t xml:space="preserve">Occupancy, ADR, RevPAR, pickup, budget vs actual, scheduled reports</t>
  </si>
  <si>
    <t xml:space="preserve">Guest CRM &amp; Messaging</t>
  </si>
  <si>
    <t xml:space="preserve">Guest profiles, preferences, automated pre-arrival and post-stay emails/SMS</t>
  </si>
  <si>
    <t xml:space="preserve">Group Dashboard (HQ)</t>
  </si>
  <si>
    <t xml:space="preserve">Consolidated view across all properties, user roles and permissions</t>
  </si>
  <si>
    <t xml:space="preserve">3. Integrations in scope</t>
  </si>
  <si>
    <t xml:space="preserve">Channel manager connections (Booking.com, Expedia, Airbnb)</t>
  </si>
  <si>
    <t xml:space="preserve">Payments: Stripe (all properties), Tyro (Gold Coast restaurant)</t>
  </si>
  <si>
    <t xml:space="preserve">Accounting: Xero</t>
  </si>
  <si>
    <t xml:space="preserve">Restaurant POS (Gold Coast)</t>
  </si>
  <si>
    <t xml:space="preserve">Door locks: Salto</t>
  </si>
  <si>
    <t xml:space="preserve">Website booking engine embed</t>
  </si>
  <si>
    <t xml:space="preserve">PRICING (AUD, excluding GST unless stated)</t>
  </si>
  <si>
    <t xml:space="preserve">Blue = assumption, green = linked from another sheet, black = formula.</t>
  </si>
  <si>
    <t xml:space="preserve">A. SaaS SUBSCRIPTION (Year 1)</t>
  </si>
  <si>
    <t xml:space="preserve">Unit</t>
  </si>
  <si>
    <t xml:space="preserve">Qty</t>
  </si>
  <si>
    <t xml:space="preserve">Price / unit / month</t>
  </si>
  <si>
    <t xml:space="preserve">Months</t>
  </si>
  <si>
    <t xml:space="preserve">Annual amount</t>
  </si>
  <si>
    <t xml:space="preserve">room / month</t>
  </si>
  <si>
    <t xml:space="preserve">flat / month</t>
  </si>
  <si>
    <t xml:space="preserve">Total A – Subscription</t>
  </si>
  <si>
    <t xml:space="preserve">B. IMPLEMENTATION SERVICES</t>
  </si>
  <si>
    <t xml:space="preserve">Item</t>
  </si>
  <si>
    <t xml:space="preserve">Days</t>
  </si>
  <si>
    <t xml:space="preserve">Day rate</t>
  </si>
  <si>
    <t xml:space="preserve">Amount</t>
  </si>
  <si>
    <t xml:space="preserve">Project management</t>
  </si>
  <si>
    <t xml:space="preserve">day</t>
  </si>
  <si>
    <t xml:space="preserve">Discovery &amp; solution design workshops</t>
  </si>
  <si>
    <t xml:space="preserve">System configuration (rooms, rates, taxes, packages, users)</t>
  </si>
  <si>
    <t xml:space="preserve">Data migration (guest profiles, future reservations)</t>
  </si>
  <si>
    <t xml:space="preserve">Staff training (on site, per property)</t>
  </si>
  <si>
    <t xml:space="preserve">Go-live support (hypercare)</t>
  </si>
  <si>
    <t xml:space="preserve">Total B – Implementation</t>
  </si>
  <si>
    <t xml:space="preserve">C. INTEGRATIONS</t>
  </si>
  <si>
    <t xml:space="preserve">Channel manager (Booking.com, Expedia, Airbnb)</t>
  </si>
  <si>
    <t xml:space="preserve">Payments (Stripe, Tyro)</t>
  </si>
  <si>
    <t xml:space="preserve">Accounting (Xero)</t>
  </si>
  <si>
    <t xml:space="preserve">Door locks (Salto)</t>
  </si>
  <si>
    <t xml:space="preserve">Total C – Integrations</t>
  </si>
  <si>
    <t xml:space="preserve">D. SUPPORT &amp; CONTINGENCY</t>
  </si>
  <si>
    <t xml:space="preserve">Rate</t>
  </si>
  <si>
    <t xml:space="preserve">Base</t>
  </si>
  <si>
    <t xml:space="preserve">Premium support (24/7 urgent, Year 1)</t>
  </si>
  <si>
    <t xml:space="preserve">% of A</t>
  </si>
  <si>
    <t xml:space="preserve">Services contingency</t>
  </si>
  <si>
    <t xml:space="preserve">% of B + C</t>
  </si>
  <si>
    <t xml:space="preserve">YEAR 1 SUMMARY</t>
  </si>
  <si>
    <t xml:space="preserve">One-off services before discount (B + C + contingency)</t>
  </si>
  <si>
    <t xml:space="preserve">One-off services, net</t>
  </si>
  <si>
    <t xml:space="preserve">Subscription, Year 1 (A)</t>
  </si>
  <si>
    <t xml:space="preserve">Premium support, Year 1</t>
  </si>
  <si>
    <t xml:space="preserve">TOTAL YEAR 1 (ex GST)</t>
  </si>
  <si>
    <t xml:space="preserve">GST</t>
  </si>
  <si>
    <t xml:space="preserve">TOTAL YEAR 1 (inc GST)</t>
  </si>
  <si>
    <t xml:space="preserve">3-YEAR COST OUTLOOK (ex GST)</t>
  </si>
  <si>
    <t xml:space="preserve">Year 1</t>
  </si>
  <si>
    <t xml:space="preserve">Year 2</t>
  </si>
  <si>
    <t xml:space="preserve">Year 3</t>
  </si>
  <si>
    <t xml:space="preserve">3-year total</t>
  </si>
  <si>
    <t xml:space="preserve">Subscription (price increases at CPI cap from Year 2)</t>
  </si>
  <si>
    <t xml:space="preserve">Premium support</t>
  </si>
  <si>
    <t xml:space="preserve">One-off services, net (Year 1 only)</t>
  </si>
  <si>
    <t xml:space="preserve">Total (ex GST)</t>
  </si>
  <si>
    <t xml:space="preserve">Total (inc GST)</t>
  </si>
  <si>
    <t xml:space="preserve">IMPLEMENTATION TIMELINE (weeks)</t>
  </si>
  <si>
    <t xml:space="preserve">Phase</t>
  </si>
  <si>
    <t xml:space="preserve">Activities</t>
  </si>
  <si>
    <t xml:space="preserve">Start (week)</t>
  </si>
  <si>
    <t xml:space="preserve">Duration (weeks)</t>
  </si>
  <si>
    <t xml:space="preserve">End (week)</t>
  </si>
  <si>
    <t xml:space="preserve">Discovery &amp; design</t>
  </si>
  <si>
    <t xml:space="preserve">Kick-off, workshops, rate and room setup design</t>
  </si>
  <si>
    <t xml:space="preserve">Build &amp; integrations</t>
  </si>
  <si>
    <t xml:space="preserve">Configuration, channel manager, payments, Xero, POS, door locks</t>
  </si>
  <si>
    <t xml:space="preserve">Wave 1 – Byron Bay</t>
  </si>
  <si>
    <t xml:space="preserve">Data migration, UAT, training, go-live (pilot)</t>
  </si>
  <si>
    <t xml:space="preserve">Wave 2 – Gold Coast</t>
  </si>
  <si>
    <t xml:space="preserve">Migration, UAT, training, go-live</t>
  </si>
  <si>
    <t xml:space="preserve">Wave 3 – Sydney CBD</t>
  </si>
  <si>
    <t xml:space="preserve">Hypercare &amp; handover</t>
  </si>
  <si>
    <t xml:space="preserve">Stabilisation, final training, transition to support</t>
  </si>
  <si>
    <t xml:space="preserve">Total duration (weeks)</t>
  </si>
  <si>
    <t xml:space="preserve">Assumes kick-off in early November 2026. Wave 1 go-live avoids the Christmas–January peak (falls in about February 2027).</t>
  </si>
  <si>
    <t xml:space="preserve">ASSUMPTIONS, EXCLUSIONS &amp; TERMS</t>
  </si>
  <si>
    <t xml:space="preserve">Type</t>
  </si>
  <si>
    <t xml:space="preserve">Detail</t>
  </si>
  <si>
    <t xml:space="preserve">Assumption</t>
  </si>
  <si>
    <t xml:space="preserve">Room counts, module selection and day estimates are initial estimates and will be confirmed after discovery.</t>
  </si>
  <si>
    <t xml:space="preserve">Client provides a project lead, data exports from the legacy PMS and timely UAT feedback.</t>
  </si>
  <si>
    <t xml:space="preserve">Subscription is billed monthly; prices shown are per room per month and exclude GST.</t>
  </si>
  <si>
    <t xml:space="preserve">Customer and payment data is hosted in Australian cloud regions.</t>
  </si>
  <si>
    <t xml:space="preserve">Exclusion</t>
  </si>
  <si>
    <t xml:space="preserve">Hardware (tablets, key encoders, card terminals) and network upgrades at the properties.</t>
  </si>
  <si>
    <t xml:space="preserve">Third-party fees: channel/OTA commissions, payment processing fees, Xero, POS and door lock vendor charges.</t>
  </si>
  <si>
    <t xml:space="preserve">Changes in scope after design sign-off, charged at the day rate in the Inputs sheet.</t>
  </si>
  <si>
    <t xml:space="preserve">Terms</t>
  </si>
  <si>
    <t xml:space="preserve">Suggested payment: 30% on signing, 40% across go-live waves, 30% after hypercare. Subscription starts at first go-live.</t>
  </si>
  <si>
    <t xml:space="preserve">Minimum subscription term and price-increase cap to be confirmed in the contract.</t>
  </si>
  <si>
    <t xml:space="preserve">This quote is valid for the number of days stated in the Inputs sheet.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</si>
</sst>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"/>
    <numFmt numFmtId="167" formatCode="#,##0;\(#,##0\);\-"/>
    <numFmt numFmtId="168" formatCode="0.0%"/>
    <numFmt numFmtId="169" formatCode="#,##0.00;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tr">
        <f aca="false">Inputs!$B$4</f>
        <v>Coastal Stay Hotels Pty Ltd</v>
      </c>
    </row>
    <row r="4" customFormat="false" ht="15" hidden="false" customHeight="false" outlineLevel="0" collapsed="false">
      <c r="A4" s="2" t="s">
        <v>2</v>
      </c>
      <c r="B4" s="3" t="str">
        <f aca="false">Inputs!$B$5</f>
        <v>Cloud Hotel PMS (SaaS) – 3 properties</v>
      </c>
    </row>
    <row r="5" customFormat="false" ht="15" hidden="false" customHeight="false" outlineLevel="0" collapsed="false">
      <c r="A5" s="2" t="s">
        <v>3</v>
      </c>
      <c r="B5" s="3" t="str">
        <f aca="false">Inputs!$B$6</f>
        <v>PRP-PMS-2026-002</v>
      </c>
    </row>
    <row r="6" customFormat="false" ht="15" hidden="false" customHeight="false" outlineLevel="0" collapsed="false">
      <c r="A6" s="2" t="s">
        <v>4</v>
      </c>
      <c r="B6" s="4" t="n">
        <f aca="false">Inputs!$B$7</f>
        <v>46303</v>
      </c>
    </row>
    <row r="7" customFormat="false" ht="15" hidden="false" customHeight="false" outlineLevel="0" collapsed="false">
      <c r="A7" s="2" t="s">
        <v>5</v>
      </c>
      <c r="B7" s="3" t="str">
        <f aca="false">Inputs!$B$9</f>
        <v>Presale A</v>
      </c>
    </row>
    <row r="8" customFormat="false" ht="15" hidden="false" customHeight="false" outlineLevel="0" collapsed="false">
      <c r="A8" s="2" t="s">
        <v>6</v>
      </c>
      <c r="B8" s="5" t="n">
        <f aca="false">Inputs!$B$8</f>
        <v>30</v>
      </c>
    </row>
    <row r="10" customFormat="false" ht="1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2" t="s">
        <v>8</v>
      </c>
      <c r="B11" s="5" t="n">
        <f aca="false">COUNTA(Scope!B5:B7)</f>
        <v>3</v>
      </c>
    </row>
    <row r="12" customFormat="false" ht="15" hidden="false" customHeight="false" outlineLevel="0" collapsed="false">
      <c r="A12" s="2" t="s">
        <v>9</v>
      </c>
      <c r="B12" s="7" t="n">
        <f aca="false">Scope!D8</f>
        <v>220</v>
      </c>
    </row>
    <row r="13" customFormat="false" ht="15" hidden="false" customHeight="false" outlineLevel="0" collapsed="false">
      <c r="A13" s="2" t="s">
        <v>10</v>
      </c>
      <c r="B13" s="7" t="n">
        <f aca="false">Pricing!G13</f>
        <v>49200</v>
      </c>
    </row>
    <row r="14" customFormat="false" ht="15" hidden="false" customHeight="false" outlineLevel="0" collapsed="false">
      <c r="A14" s="2" t="s">
        <v>11</v>
      </c>
      <c r="B14" s="7" t="n">
        <f aca="false">Pricing!G43</f>
        <v>117117</v>
      </c>
    </row>
    <row r="15" customFormat="false" ht="15" hidden="false" customHeight="false" outlineLevel="0" collapsed="false">
      <c r="A15" s="2" t="s">
        <v>12</v>
      </c>
      <c r="B15" s="7" t="n">
        <f aca="false">Pricing!G46</f>
        <v>173697</v>
      </c>
    </row>
    <row r="16" customFormat="false" ht="15" hidden="false" customHeight="false" outlineLevel="0" collapsed="false">
      <c r="A16" s="2" t="s">
        <v>13</v>
      </c>
      <c r="B16" s="7" t="n">
        <f aca="false">Pricing!G48</f>
        <v>191066.7</v>
      </c>
    </row>
    <row r="17" customFormat="false" ht="15" hidden="false" customHeight="false" outlineLevel="0" collapsed="false">
      <c r="A17" s="2" t="s">
        <v>14</v>
      </c>
      <c r="B17" s="7" t="n">
        <f aca="false">Pricing!G56</f>
        <v>292000.122</v>
      </c>
    </row>
    <row r="18" customFormat="false" ht="15" hidden="false" customHeight="false" outlineLevel="0" collapsed="false">
      <c r="A18" s="2" t="s">
        <v>15</v>
      </c>
      <c r="B18" s="5" t="n">
        <f aca="false">Timeline!E10</f>
        <v>26</v>
      </c>
    </row>
    <row r="20" customFormat="false" ht="15" hidden="false" customHeight="false" outlineLevel="0" collapsed="false">
      <c r="A20" s="6" t="s">
        <v>16</v>
      </c>
    </row>
    <row r="21" customFormat="false" ht="15" hidden="false" customHeight="false" outlineLevel="0" collapsed="false">
      <c r="A21" s="8" t="s">
        <v>17</v>
      </c>
      <c r="B21" s="8"/>
    </row>
    <row r="22" customFormat="false" ht="15" hidden="false" customHeight="false" outlineLevel="0" collapsed="false">
      <c r="A22" s="8" t="s">
        <v>18</v>
      </c>
      <c r="B22" s="8"/>
    </row>
    <row r="23" customFormat="false" ht="15" hidden="false" customHeight="false" outlineLevel="0" collapsed="false">
      <c r="A23" s="8" t="s">
        <v>19</v>
      </c>
      <c r="B23" s="8"/>
    </row>
    <row r="24" customFormat="false" ht="15" hidden="false" customHeight="false" outlineLevel="0" collapsed="false">
      <c r="A24" s="8" t="s">
        <v>20</v>
      </c>
      <c r="B24" s="8"/>
    </row>
    <row r="25" customFormat="false" ht="15" hidden="false" customHeight="false" outlineLevel="0" collapsed="false">
      <c r="A25" s="8" t="s">
        <v>21</v>
      </c>
      <c r="B25" s="8"/>
    </row>
    <row r="27" customFormat="false" ht="15" hidden="false" customHeight="false" outlineLevel="0" collapsed="false">
      <c r="A27" s="9" t="s">
        <v>22</v>
      </c>
    </row>
  </sheetData>
  <mergeCells count="5">
    <mergeCell ref="A21:B21"/>
    <mergeCell ref="A22:B22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</cols>
  <sheetData>
    <row r="1" customFormat="false" ht="17.35" hidden="false" customHeight="false" outlineLevel="0" collapsed="false">
      <c r="A1" s="1" t="s">
        <v>23</v>
      </c>
    </row>
    <row r="3" customFormat="false" ht="30" hidden="false" customHeight="true" outlineLevel="0" collapsed="false">
      <c r="A3" s="10" t="s">
        <v>24</v>
      </c>
      <c r="B3" s="10" t="s">
        <v>25</v>
      </c>
    </row>
    <row r="4" customFormat="false" ht="15" hidden="false" customHeight="false" outlineLevel="0" collapsed="false">
      <c r="A4" s="11" t="s">
        <v>1</v>
      </c>
      <c r="B4" s="12" t="s">
        <v>26</v>
      </c>
    </row>
    <row r="5" customFormat="false" ht="15" hidden="false" customHeight="false" outlineLevel="0" collapsed="false">
      <c r="A5" s="11" t="s">
        <v>2</v>
      </c>
      <c r="B5" s="12" t="s">
        <v>27</v>
      </c>
    </row>
    <row r="6" customFormat="false" ht="15" hidden="false" customHeight="false" outlineLevel="0" collapsed="false">
      <c r="A6" s="11" t="s">
        <v>3</v>
      </c>
      <c r="B6" s="12" t="s">
        <v>28</v>
      </c>
    </row>
    <row r="7" customFormat="false" ht="15" hidden="false" customHeight="false" outlineLevel="0" collapsed="false">
      <c r="A7" s="11" t="s">
        <v>29</v>
      </c>
      <c r="B7" s="13" t="n">
        <v>46303</v>
      </c>
    </row>
    <row r="8" customFormat="false" ht="15" hidden="false" customHeight="false" outlineLevel="0" collapsed="false">
      <c r="A8" s="11" t="s">
        <v>6</v>
      </c>
      <c r="B8" s="14" t="n">
        <v>30</v>
      </c>
    </row>
    <row r="9" customFormat="false" ht="15" hidden="false" customHeight="false" outlineLevel="0" collapsed="false">
      <c r="A9" s="11" t="s">
        <v>5</v>
      </c>
      <c r="B9" s="12" t="s">
        <v>30</v>
      </c>
    </row>
    <row r="10" customFormat="false" ht="15" hidden="false" customHeight="false" outlineLevel="0" collapsed="false">
      <c r="A10" s="11" t="s">
        <v>31</v>
      </c>
      <c r="B10" s="15" t="n">
        <v>1300</v>
      </c>
    </row>
    <row r="11" customFormat="false" ht="15" hidden="false" customHeight="false" outlineLevel="0" collapsed="false">
      <c r="A11" s="11" t="s">
        <v>32</v>
      </c>
      <c r="B11" s="16" t="n">
        <v>0.1</v>
      </c>
    </row>
    <row r="12" customFormat="false" ht="15" hidden="false" customHeight="false" outlineLevel="0" collapsed="false">
      <c r="A12" s="11" t="s">
        <v>33</v>
      </c>
      <c r="B12" s="16" t="n">
        <v>0.1</v>
      </c>
    </row>
    <row r="13" customFormat="false" ht="15" hidden="false" customHeight="false" outlineLevel="0" collapsed="false">
      <c r="A13" s="11" t="s">
        <v>34</v>
      </c>
      <c r="B13" s="16" t="n">
        <v>0.15</v>
      </c>
    </row>
    <row r="14" customFormat="false" ht="15" hidden="false" customHeight="false" outlineLevel="0" collapsed="false">
      <c r="A14" s="11" t="s">
        <v>35</v>
      </c>
      <c r="B14" s="16" t="n">
        <v>0.1</v>
      </c>
    </row>
    <row r="15" customFormat="false" ht="15" hidden="false" customHeight="false" outlineLevel="0" collapsed="false">
      <c r="A15" s="11" t="s">
        <v>36</v>
      </c>
      <c r="B15" s="16" t="n">
        <v>0.03</v>
      </c>
    </row>
    <row r="16" customFormat="false" ht="15" hidden="false" customHeight="false" outlineLevel="0" collapsed="false">
      <c r="A16" s="11" t="s">
        <v>37</v>
      </c>
      <c r="B16" s="14" t="n">
        <v>12</v>
      </c>
    </row>
    <row r="18" customFormat="false" ht="15" hidden="false" customHeight="false" outlineLevel="0" collapsed="false">
      <c r="A18" s="1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70"/>
    <col collapsed="false" customWidth="true" hidden="false" outlineLevel="0" max="4" min="4" style="0" width="1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39</v>
      </c>
    </row>
    <row r="3" customFormat="false" ht="15" hidden="false" customHeight="false" outlineLevel="0" collapsed="false">
      <c r="A3" s="18" t="s">
        <v>40</v>
      </c>
    </row>
    <row r="4" customFormat="false" ht="30" hidden="false" customHeight="true" outlineLevel="0" collapsed="false">
      <c r="A4" s="10" t="s">
        <v>41</v>
      </c>
      <c r="B4" s="10" t="s">
        <v>42</v>
      </c>
      <c r="C4" s="10" t="s">
        <v>43</v>
      </c>
      <c r="D4" s="10" t="s">
        <v>44</v>
      </c>
      <c r="E4" s="10" t="s">
        <v>45</v>
      </c>
    </row>
    <row r="5" customFormat="false" ht="15" hidden="false" customHeight="false" outlineLevel="0" collapsed="false">
      <c r="A5" s="19" t="n">
        <v>1</v>
      </c>
      <c r="B5" s="11" t="s">
        <v>46</v>
      </c>
      <c r="C5" s="19" t="s">
        <v>47</v>
      </c>
      <c r="D5" s="20" t="n">
        <v>48</v>
      </c>
      <c r="E5" s="21" t="s">
        <v>48</v>
      </c>
    </row>
    <row r="6" customFormat="false" ht="15" hidden="false" customHeight="false" outlineLevel="0" collapsed="false">
      <c r="A6" s="19" t="n">
        <v>2</v>
      </c>
      <c r="B6" s="11" t="s">
        <v>49</v>
      </c>
      <c r="C6" s="19" t="s">
        <v>50</v>
      </c>
      <c r="D6" s="20" t="n">
        <v>112</v>
      </c>
      <c r="E6" s="21" t="s">
        <v>51</v>
      </c>
    </row>
    <row r="7" customFormat="false" ht="15" hidden="false" customHeight="false" outlineLevel="0" collapsed="false">
      <c r="A7" s="19" t="n">
        <v>3</v>
      </c>
      <c r="B7" s="11" t="s">
        <v>52</v>
      </c>
      <c r="C7" s="19" t="s">
        <v>47</v>
      </c>
      <c r="D7" s="20" t="n">
        <v>60</v>
      </c>
      <c r="E7" s="21" t="s">
        <v>53</v>
      </c>
    </row>
    <row r="8" customFormat="false" ht="15" hidden="false" customHeight="false" outlineLevel="0" collapsed="false">
      <c r="A8" s="22"/>
      <c r="B8" s="2" t="s">
        <v>9</v>
      </c>
      <c r="C8" s="22"/>
      <c r="D8" s="23" t="n">
        <f aca="false">SUM(D5:D7)</f>
        <v>220</v>
      </c>
      <c r="E8" s="22"/>
    </row>
    <row r="10" customFormat="false" ht="15" hidden="false" customHeight="false" outlineLevel="0" collapsed="false">
      <c r="A10" s="18" t="s">
        <v>54</v>
      </c>
    </row>
    <row r="11" customFormat="false" ht="30" hidden="false" customHeight="true" outlineLevel="0" collapsed="false">
      <c r="A11" s="10" t="s">
        <v>41</v>
      </c>
      <c r="B11" s="10" t="s">
        <v>55</v>
      </c>
      <c r="C11" s="10" t="s">
        <v>56</v>
      </c>
    </row>
    <row r="12" customFormat="false" ht="30" hidden="false" customHeight="true" outlineLevel="0" collapsed="false">
      <c r="A12" s="19" t="n">
        <v>1</v>
      </c>
      <c r="B12" s="11" t="s">
        <v>57</v>
      </c>
      <c r="C12" s="24" t="s">
        <v>58</v>
      </c>
    </row>
    <row r="13" customFormat="false" ht="30" hidden="false" customHeight="true" outlineLevel="0" collapsed="false">
      <c r="A13" s="19" t="n">
        <v>2</v>
      </c>
      <c r="B13" s="11" t="s">
        <v>59</v>
      </c>
      <c r="C13" s="24" t="s">
        <v>60</v>
      </c>
    </row>
    <row r="14" customFormat="false" ht="30" hidden="false" customHeight="true" outlineLevel="0" collapsed="false">
      <c r="A14" s="19" t="n">
        <v>3</v>
      </c>
      <c r="B14" s="11" t="s">
        <v>61</v>
      </c>
      <c r="C14" s="24" t="s">
        <v>62</v>
      </c>
    </row>
    <row r="15" customFormat="false" ht="30" hidden="false" customHeight="true" outlineLevel="0" collapsed="false">
      <c r="A15" s="19" t="n">
        <v>4</v>
      </c>
      <c r="B15" s="11" t="s">
        <v>63</v>
      </c>
      <c r="C15" s="24" t="s">
        <v>64</v>
      </c>
    </row>
    <row r="16" customFormat="false" ht="30" hidden="false" customHeight="true" outlineLevel="0" collapsed="false">
      <c r="A16" s="19" t="n">
        <v>5</v>
      </c>
      <c r="B16" s="11" t="s">
        <v>65</v>
      </c>
      <c r="C16" s="24" t="s">
        <v>66</v>
      </c>
    </row>
    <row r="17" customFormat="false" ht="30" hidden="false" customHeight="true" outlineLevel="0" collapsed="false">
      <c r="A17" s="19" t="n">
        <v>6</v>
      </c>
      <c r="B17" s="11" t="s">
        <v>67</v>
      </c>
      <c r="C17" s="24" t="s">
        <v>68</v>
      </c>
    </row>
    <row r="18" customFormat="false" ht="30" hidden="false" customHeight="true" outlineLevel="0" collapsed="false">
      <c r="A18" s="19" t="n">
        <v>7</v>
      </c>
      <c r="B18" s="11" t="s">
        <v>69</v>
      </c>
      <c r="C18" s="24" t="s">
        <v>70</v>
      </c>
    </row>
    <row r="20" customFormat="false" ht="15" hidden="false" customHeight="false" outlineLevel="0" collapsed="false">
      <c r="A20" s="18" t="s">
        <v>71</v>
      </c>
    </row>
    <row r="21" customFormat="false" ht="15" hidden="false" customHeight="false" outlineLevel="0" collapsed="false">
      <c r="A21" s="19" t="n">
        <v>1</v>
      </c>
      <c r="B21" s="25" t="s">
        <v>72</v>
      </c>
    </row>
    <row r="22" customFormat="false" ht="15" hidden="false" customHeight="false" outlineLevel="0" collapsed="false">
      <c r="A22" s="19" t="n">
        <v>2</v>
      </c>
      <c r="B22" s="25" t="s">
        <v>73</v>
      </c>
    </row>
    <row r="23" customFormat="false" ht="15" hidden="false" customHeight="false" outlineLevel="0" collapsed="false">
      <c r="A23" s="19" t="n">
        <v>3</v>
      </c>
      <c r="B23" s="25" t="s">
        <v>74</v>
      </c>
    </row>
    <row r="24" customFormat="false" ht="15" hidden="false" customHeight="false" outlineLevel="0" collapsed="false">
      <c r="A24" s="19" t="n">
        <v>4</v>
      </c>
      <c r="B24" s="25" t="s">
        <v>75</v>
      </c>
    </row>
    <row r="25" customFormat="false" ht="15" hidden="false" customHeight="false" outlineLevel="0" collapsed="false">
      <c r="A25" s="19" t="n">
        <v>5</v>
      </c>
      <c r="B25" s="25" t="s">
        <v>76</v>
      </c>
    </row>
    <row r="26" customFormat="false" ht="15" hidden="false" customHeight="false" outlineLevel="0" collapsed="false">
      <c r="A26" s="19" t="n">
        <v>6</v>
      </c>
      <c r="B26" s="25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9" t="s">
        <v>79</v>
      </c>
    </row>
    <row r="4" customFormat="false" ht="15" hidden="false" customHeight="false" outlineLevel="0" collapsed="false">
      <c r="A4" s="2"/>
      <c r="B4" s="2" t="s">
        <v>80</v>
      </c>
      <c r="C4" s="2"/>
      <c r="D4" s="2"/>
      <c r="E4" s="2"/>
      <c r="F4" s="2"/>
      <c r="G4" s="2"/>
    </row>
    <row r="5" customFormat="false" ht="30" hidden="false" customHeight="true" outlineLevel="0" collapsed="false">
      <c r="A5" s="10" t="s">
        <v>41</v>
      </c>
      <c r="B5" s="10" t="s">
        <v>55</v>
      </c>
      <c r="C5" s="10" t="s">
        <v>81</v>
      </c>
      <c r="D5" s="10" t="s">
        <v>82</v>
      </c>
      <c r="E5" s="10" t="s">
        <v>83</v>
      </c>
      <c r="F5" s="10" t="s">
        <v>84</v>
      </c>
      <c r="G5" s="10" t="s">
        <v>85</v>
      </c>
    </row>
    <row r="6" customFormat="false" ht="15" hidden="false" customHeight="false" outlineLevel="0" collapsed="false">
      <c r="A6" s="19" t="n">
        <v>1</v>
      </c>
      <c r="B6" s="26" t="str">
        <f aca="false">Scope!B12</f>
        <v>Core PMS</v>
      </c>
      <c r="C6" s="19" t="s">
        <v>86</v>
      </c>
      <c r="D6" s="27" t="n">
        <f aca="false">Scope!$D$8</f>
        <v>220</v>
      </c>
      <c r="E6" s="28" t="n">
        <v>9</v>
      </c>
      <c r="F6" s="29" t="n">
        <f aca="false">Inputs!$B$16</f>
        <v>12</v>
      </c>
      <c r="G6" s="30" t="n">
        <f aca="false">D6*E6*F6</f>
        <v>23760</v>
      </c>
    </row>
    <row r="7" customFormat="false" ht="15" hidden="false" customHeight="false" outlineLevel="0" collapsed="false">
      <c r="A7" s="19" t="n">
        <v>2</v>
      </c>
      <c r="B7" s="26" t="str">
        <f aca="false">Scope!B13</f>
        <v>Housekeeping &amp; Maintenance</v>
      </c>
      <c r="C7" s="19" t="s">
        <v>86</v>
      </c>
      <c r="D7" s="27" t="n">
        <f aca="false">Scope!$D$8</f>
        <v>220</v>
      </c>
      <c r="E7" s="28" t="n">
        <v>2</v>
      </c>
      <c r="F7" s="29" t="n">
        <f aca="false">Inputs!$B$16</f>
        <v>12</v>
      </c>
      <c r="G7" s="30" t="n">
        <f aca="false">D7*E7*F7</f>
        <v>5280</v>
      </c>
    </row>
    <row r="8" customFormat="false" ht="15" hidden="false" customHeight="false" outlineLevel="0" collapsed="false">
      <c r="A8" s="19" t="n">
        <v>3</v>
      </c>
      <c r="B8" s="26" t="str">
        <f aca="false">Scope!B14</f>
        <v>Channel Manager</v>
      </c>
      <c r="C8" s="19" t="s">
        <v>86</v>
      </c>
      <c r="D8" s="27" t="n">
        <f aca="false">Scope!$D$8</f>
        <v>220</v>
      </c>
      <c r="E8" s="28" t="n">
        <v>2.5</v>
      </c>
      <c r="F8" s="29" t="n">
        <f aca="false">Inputs!$B$16</f>
        <v>12</v>
      </c>
      <c r="G8" s="30" t="n">
        <f aca="false">D8*E8*F8</f>
        <v>6600</v>
      </c>
    </row>
    <row r="9" customFormat="false" ht="15" hidden="false" customHeight="false" outlineLevel="0" collapsed="false">
      <c r="A9" s="19" t="n">
        <v>4</v>
      </c>
      <c r="B9" s="26" t="str">
        <f aca="false">Scope!B15</f>
        <v>Direct Booking Engine</v>
      </c>
      <c r="C9" s="19" t="s">
        <v>86</v>
      </c>
      <c r="D9" s="27" t="n">
        <f aca="false">Scope!$D$8</f>
        <v>220</v>
      </c>
      <c r="E9" s="28" t="n">
        <v>1.5</v>
      </c>
      <c r="F9" s="29" t="n">
        <f aca="false">Inputs!$B$16</f>
        <v>12</v>
      </c>
      <c r="G9" s="30" t="n">
        <f aca="false">D9*E9*F9</f>
        <v>3960</v>
      </c>
    </row>
    <row r="10" customFormat="false" ht="15" hidden="false" customHeight="false" outlineLevel="0" collapsed="false">
      <c r="A10" s="19" t="n">
        <v>5</v>
      </c>
      <c r="B10" s="26" t="str">
        <f aca="false">Scope!B16</f>
        <v>Revenue &amp; Reporting</v>
      </c>
      <c r="C10" s="19" t="s">
        <v>86</v>
      </c>
      <c r="D10" s="27" t="n">
        <f aca="false">Scope!$D$8</f>
        <v>220</v>
      </c>
      <c r="E10" s="28" t="n">
        <v>1.5</v>
      </c>
      <c r="F10" s="29" t="n">
        <f aca="false">Inputs!$B$16</f>
        <v>12</v>
      </c>
      <c r="G10" s="30" t="n">
        <f aca="false">D10*E10*F10</f>
        <v>3960</v>
      </c>
    </row>
    <row r="11" customFormat="false" ht="15" hidden="false" customHeight="false" outlineLevel="0" collapsed="false">
      <c r="A11" s="19" t="n">
        <v>6</v>
      </c>
      <c r="B11" s="26" t="str">
        <f aca="false">Scope!B17</f>
        <v>Guest CRM &amp; Messaging</v>
      </c>
      <c r="C11" s="19" t="s">
        <v>86</v>
      </c>
      <c r="D11" s="27" t="n">
        <f aca="false">Scope!$D$8</f>
        <v>220</v>
      </c>
      <c r="E11" s="28" t="n">
        <v>1</v>
      </c>
      <c r="F11" s="29" t="n">
        <f aca="false">Inputs!$B$16</f>
        <v>12</v>
      </c>
      <c r="G11" s="30" t="n">
        <f aca="false">D11*E11*F11</f>
        <v>2640</v>
      </c>
    </row>
    <row r="12" customFormat="false" ht="15" hidden="false" customHeight="false" outlineLevel="0" collapsed="false">
      <c r="A12" s="19" t="n">
        <v>7</v>
      </c>
      <c r="B12" s="26" t="str">
        <f aca="false">Scope!B18</f>
        <v>Group Dashboard (HQ)</v>
      </c>
      <c r="C12" s="19" t="s">
        <v>87</v>
      </c>
      <c r="D12" s="20" t="n">
        <v>1</v>
      </c>
      <c r="E12" s="28" t="n">
        <v>250</v>
      </c>
      <c r="F12" s="29" t="n">
        <f aca="false">Inputs!$B$16</f>
        <v>12</v>
      </c>
      <c r="G12" s="30" t="n">
        <f aca="false">D12*E12*F12</f>
        <v>3000</v>
      </c>
    </row>
    <row r="13" customFormat="false" ht="15" hidden="false" customHeight="false" outlineLevel="0" collapsed="false">
      <c r="A13" s="22"/>
      <c r="B13" s="2" t="s">
        <v>88</v>
      </c>
      <c r="C13" s="22"/>
      <c r="D13" s="22"/>
      <c r="E13" s="22"/>
      <c r="F13" s="22"/>
      <c r="G13" s="23" t="n">
        <f aca="false">SUM(G6:G12)</f>
        <v>49200</v>
      </c>
    </row>
    <row r="15" customFormat="false" ht="15" hidden="false" customHeight="false" outlineLevel="0" collapsed="false">
      <c r="A15" s="2"/>
      <c r="B15" s="2" t="s">
        <v>89</v>
      </c>
      <c r="C15" s="2"/>
      <c r="D15" s="2"/>
      <c r="E15" s="2"/>
      <c r="F15" s="2"/>
      <c r="G15" s="2"/>
    </row>
    <row r="16" customFormat="false" ht="30" hidden="false" customHeight="true" outlineLevel="0" collapsed="false">
      <c r="A16" s="10" t="s">
        <v>41</v>
      </c>
      <c r="B16" s="10" t="s">
        <v>90</v>
      </c>
      <c r="C16" s="10" t="s">
        <v>81</v>
      </c>
      <c r="D16" s="10" t="s">
        <v>91</v>
      </c>
      <c r="E16" s="10" t="s">
        <v>92</v>
      </c>
      <c r="F16" s="10"/>
      <c r="G16" s="10" t="s">
        <v>93</v>
      </c>
    </row>
    <row r="17" customFormat="false" ht="15" hidden="false" customHeight="false" outlineLevel="0" collapsed="false">
      <c r="A17" s="19" t="n">
        <v>1</v>
      </c>
      <c r="B17" s="25" t="s">
        <v>94</v>
      </c>
      <c r="C17" s="19" t="s">
        <v>95</v>
      </c>
      <c r="D17" s="20" t="n">
        <v>15</v>
      </c>
      <c r="E17" s="27" t="n">
        <f aca="false">Inputs!$B$10</f>
        <v>1300</v>
      </c>
      <c r="F17" s="25"/>
      <c r="G17" s="30" t="n">
        <f aca="false">D17*E17</f>
        <v>19500</v>
      </c>
    </row>
    <row r="18" customFormat="false" ht="15" hidden="false" customHeight="false" outlineLevel="0" collapsed="false">
      <c r="A18" s="19" t="n">
        <v>2</v>
      </c>
      <c r="B18" s="25" t="s">
        <v>96</v>
      </c>
      <c r="C18" s="19" t="s">
        <v>95</v>
      </c>
      <c r="D18" s="20" t="n">
        <v>6</v>
      </c>
      <c r="E18" s="27" t="n">
        <f aca="false">Inputs!$B$10</f>
        <v>1300</v>
      </c>
      <c r="F18" s="25"/>
      <c r="G18" s="30" t="n">
        <f aca="false">D18*E18</f>
        <v>7800</v>
      </c>
    </row>
    <row r="19" customFormat="false" ht="15" hidden="false" customHeight="false" outlineLevel="0" collapsed="false">
      <c r="A19" s="19" t="n">
        <v>3</v>
      </c>
      <c r="B19" s="25" t="s">
        <v>97</v>
      </c>
      <c r="C19" s="19" t="s">
        <v>95</v>
      </c>
      <c r="D19" s="20" t="n">
        <v>12</v>
      </c>
      <c r="E19" s="27" t="n">
        <f aca="false">Inputs!$B$10</f>
        <v>1300</v>
      </c>
      <c r="F19" s="25"/>
      <c r="G19" s="30" t="n">
        <f aca="false">D19*E19</f>
        <v>15600</v>
      </c>
    </row>
    <row r="20" customFormat="false" ht="15" hidden="false" customHeight="false" outlineLevel="0" collapsed="false">
      <c r="A20" s="19" t="n">
        <v>4</v>
      </c>
      <c r="B20" s="25" t="s">
        <v>98</v>
      </c>
      <c r="C20" s="19" t="s">
        <v>95</v>
      </c>
      <c r="D20" s="20" t="n">
        <v>10</v>
      </c>
      <c r="E20" s="27" t="n">
        <f aca="false">Inputs!$B$10</f>
        <v>1300</v>
      </c>
      <c r="F20" s="25"/>
      <c r="G20" s="30" t="n">
        <f aca="false">D20*E20</f>
        <v>13000</v>
      </c>
    </row>
    <row r="21" customFormat="false" ht="15" hidden="false" customHeight="false" outlineLevel="0" collapsed="false">
      <c r="A21" s="19" t="n">
        <v>5</v>
      </c>
      <c r="B21" s="25" t="s">
        <v>99</v>
      </c>
      <c r="C21" s="19" t="s">
        <v>95</v>
      </c>
      <c r="D21" s="20" t="n">
        <v>8</v>
      </c>
      <c r="E21" s="27" t="n">
        <f aca="false">Inputs!$B$10</f>
        <v>1300</v>
      </c>
      <c r="F21" s="25"/>
      <c r="G21" s="30" t="n">
        <f aca="false">D21*E21</f>
        <v>10400</v>
      </c>
    </row>
    <row r="22" customFormat="false" ht="15" hidden="false" customHeight="false" outlineLevel="0" collapsed="false">
      <c r="A22" s="19" t="n">
        <v>6</v>
      </c>
      <c r="B22" s="25" t="s">
        <v>100</v>
      </c>
      <c r="C22" s="19" t="s">
        <v>95</v>
      </c>
      <c r="D22" s="20" t="n">
        <v>8</v>
      </c>
      <c r="E22" s="27" t="n">
        <f aca="false">Inputs!$B$10</f>
        <v>1300</v>
      </c>
      <c r="F22" s="25"/>
      <c r="G22" s="30" t="n">
        <f aca="false">D22*E22</f>
        <v>10400</v>
      </c>
    </row>
    <row r="23" customFormat="false" ht="15" hidden="false" customHeight="false" outlineLevel="0" collapsed="false">
      <c r="A23" s="22"/>
      <c r="B23" s="2" t="s">
        <v>101</v>
      </c>
      <c r="C23" s="22"/>
      <c r="D23" s="23" t="n">
        <f aca="false">SUM(D17:D22)</f>
        <v>59</v>
      </c>
      <c r="E23" s="22"/>
      <c r="F23" s="22"/>
      <c r="G23" s="23" t="n">
        <f aca="false">SUM(G17:G22)</f>
        <v>76700</v>
      </c>
    </row>
    <row r="25" customFormat="false" ht="15" hidden="false" customHeight="false" outlineLevel="0" collapsed="false">
      <c r="A25" s="2"/>
      <c r="B25" s="2" t="s">
        <v>102</v>
      </c>
      <c r="C25" s="2"/>
      <c r="D25" s="2"/>
      <c r="E25" s="2"/>
      <c r="F25" s="2"/>
      <c r="G25" s="2"/>
    </row>
    <row r="26" customFormat="false" ht="30" hidden="false" customHeight="true" outlineLevel="0" collapsed="false">
      <c r="A26" s="10" t="s">
        <v>41</v>
      </c>
      <c r="B26" s="10" t="s">
        <v>90</v>
      </c>
      <c r="C26" s="10" t="s">
        <v>81</v>
      </c>
      <c r="D26" s="10" t="s">
        <v>91</v>
      </c>
      <c r="E26" s="10" t="s">
        <v>92</v>
      </c>
      <c r="F26" s="10"/>
      <c r="G26" s="10" t="s">
        <v>93</v>
      </c>
    </row>
    <row r="27" customFormat="false" ht="15" hidden="false" customHeight="false" outlineLevel="0" collapsed="false">
      <c r="A27" s="19" t="n">
        <v>1</v>
      </c>
      <c r="B27" s="25" t="s">
        <v>103</v>
      </c>
      <c r="C27" s="19" t="s">
        <v>95</v>
      </c>
      <c r="D27" s="20" t="n">
        <v>6</v>
      </c>
      <c r="E27" s="27" t="n">
        <f aca="false">Inputs!$B$10</f>
        <v>1300</v>
      </c>
      <c r="F27" s="25"/>
      <c r="G27" s="30" t="n">
        <f aca="false">D27*E27</f>
        <v>7800</v>
      </c>
    </row>
    <row r="28" customFormat="false" ht="15" hidden="false" customHeight="false" outlineLevel="0" collapsed="false">
      <c r="A28" s="19" t="n">
        <v>2</v>
      </c>
      <c r="B28" s="25" t="s">
        <v>104</v>
      </c>
      <c r="C28" s="19" t="s">
        <v>95</v>
      </c>
      <c r="D28" s="20" t="n">
        <v>5</v>
      </c>
      <c r="E28" s="27" t="n">
        <f aca="false">Inputs!$B$10</f>
        <v>1300</v>
      </c>
      <c r="F28" s="25"/>
      <c r="G28" s="30" t="n">
        <f aca="false">D28*E28</f>
        <v>6500</v>
      </c>
    </row>
    <row r="29" customFormat="false" ht="15" hidden="false" customHeight="false" outlineLevel="0" collapsed="false">
      <c r="A29" s="19" t="n">
        <v>3</v>
      </c>
      <c r="B29" s="25" t="s">
        <v>105</v>
      </c>
      <c r="C29" s="19" t="s">
        <v>95</v>
      </c>
      <c r="D29" s="20" t="n">
        <v>5</v>
      </c>
      <c r="E29" s="27" t="n">
        <f aca="false">Inputs!$B$10</f>
        <v>1300</v>
      </c>
      <c r="F29" s="25"/>
      <c r="G29" s="30" t="n">
        <f aca="false">D29*E29</f>
        <v>6500</v>
      </c>
    </row>
    <row r="30" customFormat="false" ht="15" hidden="false" customHeight="false" outlineLevel="0" collapsed="false">
      <c r="A30" s="19" t="n">
        <v>4</v>
      </c>
      <c r="B30" s="25" t="s">
        <v>75</v>
      </c>
      <c r="C30" s="19" t="s">
        <v>95</v>
      </c>
      <c r="D30" s="20" t="n">
        <v>7</v>
      </c>
      <c r="E30" s="27" t="n">
        <f aca="false">Inputs!$B$10</f>
        <v>1300</v>
      </c>
      <c r="F30" s="25"/>
      <c r="G30" s="30" t="n">
        <f aca="false">D30*E30</f>
        <v>9100</v>
      </c>
    </row>
    <row r="31" customFormat="false" ht="15" hidden="false" customHeight="false" outlineLevel="0" collapsed="false">
      <c r="A31" s="19" t="n">
        <v>5</v>
      </c>
      <c r="B31" s="25" t="s">
        <v>106</v>
      </c>
      <c r="C31" s="19" t="s">
        <v>95</v>
      </c>
      <c r="D31" s="20" t="n">
        <v>6</v>
      </c>
      <c r="E31" s="27" t="n">
        <f aca="false">Inputs!$B$10</f>
        <v>1300</v>
      </c>
      <c r="F31" s="25"/>
      <c r="G31" s="30" t="n">
        <f aca="false">D31*E31</f>
        <v>7800</v>
      </c>
    </row>
    <row r="32" customFormat="false" ht="15" hidden="false" customHeight="false" outlineLevel="0" collapsed="false">
      <c r="A32" s="19" t="n">
        <v>6</v>
      </c>
      <c r="B32" s="25" t="s">
        <v>77</v>
      </c>
      <c r="C32" s="19" t="s">
        <v>95</v>
      </c>
      <c r="D32" s="20" t="n">
        <v>3</v>
      </c>
      <c r="E32" s="27" t="n">
        <f aca="false">Inputs!$B$10</f>
        <v>1300</v>
      </c>
      <c r="F32" s="25"/>
      <c r="G32" s="30" t="n">
        <f aca="false">D32*E32</f>
        <v>3900</v>
      </c>
    </row>
    <row r="33" customFormat="false" ht="15" hidden="false" customHeight="false" outlineLevel="0" collapsed="false">
      <c r="A33" s="22"/>
      <c r="B33" s="2" t="s">
        <v>107</v>
      </c>
      <c r="C33" s="22"/>
      <c r="D33" s="23" t="n">
        <f aca="false">SUM(D27:D32)</f>
        <v>32</v>
      </c>
      <c r="E33" s="22"/>
      <c r="F33" s="22"/>
      <c r="G33" s="23" t="n">
        <f aca="false">SUM(G27:G32)</f>
        <v>41600</v>
      </c>
    </row>
    <row r="35" customFormat="false" ht="15" hidden="false" customHeight="false" outlineLevel="0" collapsed="false">
      <c r="A35" s="2"/>
      <c r="B35" s="2" t="s">
        <v>108</v>
      </c>
      <c r="C35" s="2"/>
      <c r="D35" s="2"/>
      <c r="E35" s="2"/>
      <c r="F35" s="2"/>
      <c r="G35" s="2"/>
    </row>
    <row r="36" customFormat="false" ht="30" hidden="false" customHeight="true" outlineLevel="0" collapsed="false">
      <c r="A36" s="10" t="s">
        <v>41</v>
      </c>
      <c r="B36" s="10" t="s">
        <v>90</v>
      </c>
      <c r="C36" s="10" t="s">
        <v>81</v>
      </c>
      <c r="D36" s="10" t="s">
        <v>109</v>
      </c>
      <c r="E36" s="10" t="s">
        <v>110</v>
      </c>
      <c r="F36" s="10"/>
      <c r="G36" s="10" t="s">
        <v>93</v>
      </c>
    </row>
    <row r="37" customFormat="false" ht="15" hidden="false" customHeight="false" outlineLevel="0" collapsed="false">
      <c r="A37" s="19" t="n">
        <v>1</v>
      </c>
      <c r="B37" s="25" t="s">
        <v>111</v>
      </c>
      <c r="C37" s="19" t="s">
        <v>112</v>
      </c>
      <c r="D37" s="31" t="n">
        <f aca="false">Inputs!$B$13</f>
        <v>0.15</v>
      </c>
      <c r="E37" s="30" t="n">
        <f aca="false">G13</f>
        <v>49200</v>
      </c>
      <c r="F37" s="25"/>
      <c r="G37" s="30" t="n">
        <f aca="false">D37*E37</f>
        <v>7380</v>
      </c>
    </row>
    <row r="38" customFormat="false" ht="15" hidden="false" customHeight="false" outlineLevel="0" collapsed="false">
      <c r="A38" s="19" t="n">
        <v>2</v>
      </c>
      <c r="B38" s="25" t="s">
        <v>113</v>
      </c>
      <c r="C38" s="19" t="s">
        <v>114</v>
      </c>
      <c r="D38" s="31" t="n">
        <f aca="false">Inputs!$B$14</f>
        <v>0.1</v>
      </c>
      <c r="E38" s="30" t="n">
        <f aca="false">G23+G33</f>
        <v>118300</v>
      </c>
      <c r="F38" s="25"/>
      <c r="G38" s="30" t="n">
        <f aca="false">D38*E38</f>
        <v>11830</v>
      </c>
    </row>
    <row r="40" customFormat="false" ht="15" hidden="false" customHeight="false" outlineLevel="0" collapsed="false">
      <c r="A40" s="2"/>
      <c r="B40" s="2" t="s">
        <v>115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A41" s="25"/>
      <c r="B41" s="25" t="s">
        <v>116</v>
      </c>
      <c r="C41" s="25"/>
      <c r="D41" s="25"/>
      <c r="E41" s="25"/>
      <c r="F41" s="25"/>
      <c r="G41" s="30" t="n">
        <f aca="false">G23+G33+G38</f>
        <v>130130</v>
      </c>
    </row>
    <row r="42" customFormat="false" ht="15" hidden="false" customHeight="false" outlineLevel="0" collapsed="false">
      <c r="A42" s="25"/>
      <c r="B42" s="25" t="s">
        <v>33</v>
      </c>
      <c r="C42" s="25"/>
      <c r="D42" s="25"/>
      <c r="E42" s="25"/>
      <c r="F42" s="25"/>
      <c r="G42" s="30" t="n">
        <f aca="false">-G41*Inputs!$B$12</f>
        <v>-13013</v>
      </c>
    </row>
    <row r="43" customFormat="false" ht="15" hidden="false" customHeight="false" outlineLevel="0" collapsed="false">
      <c r="A43" s="25"/>
      <c r="B43" s="25" t="s">
        <v>117</v>
      </c>
      <c r="C43" s="25"/>
      <c r="D43" s="25"/>
      <c r="E43" s="25"/>
      <c r="F43" s="25"/>
      <c r="G43" s="30" t="n">
        <f aca="false">G41+G42</f>
        <v>117117</v>
      </c>
    </row>
    <row r="44" customFormat="false" ht="15" hidden="false" customHeight="false" outlineLevel="0" collapsed="false">
      <c r="A44" s="25"/>
      <c r="B44" s="25" t="s">
        <v>118</v>
      </c>
      <c r="C44" s="25"/>
      <c r="D44" s="25"/>
      <c r="E44" s="25"/>
      <c r="F44" s="25"/>
      <c r="G44" s="30" t="n">
        <f aca="false">G13</f>
        <v>49200</v>
      </c>
    </row>
    <row r="45" customFormat="false" ht="15" hidden="false" customHeight="false" outlineLevel="0" collapsed="false">
      <c r="A45" s="25"/>
      <c r="B45" s="25" t="s">
        <v>119</v>
      </c>
      <c r="C45" s="25"/>
      <c r="D45" s="25"/>
      <c r="E45" s="25"/>
      <c r="F45" s="25"/>
      <c r="G45" s="30" t="n">
        <f aca="false">G37</f>
        <v>7380</v>
      </c>
    </row>
    <row r="46" customFormat="false" ht="15" hidden="false" customHeight="false" outlineLevel="0" collapsed="false">
      <c r="A46" s="32"/>
      <c r="B46" s="33" t="s">
        <v>120</v>
      </c>
      <c r="C46" s="32"/>
      <c r="D46" s="32"/>
      <c r="E46" s="32"/>
      <c r="F46" s="32"/>
      <c r="G46" s="34" t="n">
        <f aca="false">G43+G44+G45</f>
        <v>173697</v>
      </c>
    </row>
    <row r="47" customFormat="false" ht="15" hidden="false" customHeight="false" outlineLevel="0" collapsed="false">
      <c r="A47" s="25"/>
      <c r="B47" s="25" t="s">
        <v>121</v>
      </c>
      <c r="C47" s="25"/>
      <c r="D47" s="25"/>
      <c r="E47" s="25"/>
      <c r="F47" s="25"/>
      <c r="G47" s="30" t="n">
        <f aca="false">G46*Inputs!$B$11</f>
        <v>17369.7</v>
      </c>
    </row>
    <row r="48" customFormat="false" ht="15" hidden="false" customHeight="false" outlineLevel="0" collapsed="false">
      <c r="A48" s="32"/>
      <c r="B48" s="33" t="s">
        <v>122</v>
      </c>
      <c r="C48" s="32"/>
      <c r="D48" s="32"/>
      <c r="E48" s="32"/>
      <c r="F48" s="32"/>
      <c r="G48" s="34" t="n">
        <f aca="false">G46+G47</f>
        <v>191066.7</v>
      </c>
    </row>
    <row r="51" customFormat="false" ht="15" hidden="false" customHeight="false" outlineLevel="0" collapsed="false">
      <c r="A51" s="2"/>
      <c r="B51" s="2" t="s">
        <v>123</v>
      </c>
      <c r="C51" s="2"/>
      <c r="D51" s="2"/>
      <c r="E51" s="2"/>
      <c r="F51" s="2"/>
      <c r="G51" s="2"/>
    </row>
    <row r="52" customFormat="false" ht="15" hidden="false" customHeight="false" outlineLevel="0" collapsed="false">
      <c r="A52" s="35"/>
      <c r="B52" s="35"/>
      <c r="C52" s="35"/>
      <c r="D52" s="35" t="s">
        <v>124</v>
      </c>
      <c r="E52" s="35" t="s">
        <v>125</v>
      </c>
      <c r="F52" s="35" t="s">
        <v>126</v>
      </c>
      <c r="G52" s="35" t="s">
        <v>127</v>
      </c>
    </row>
    <row r="53" customFormat="false" ht="15" hidden="false" customHeight="false" outlineLevel="0" collapsed="false">
      <c r="B53" s="25" t="s">
        <v>128</v>
      </c>
      <c r="D53" s="30" t="n">
        <f aca="false">G13</f>
        <v>49200</v>
      </c>
      <c r="E53" s="30" t="n">
        <f aca="false">D53*(1+Inputs!$B$15)</f>
        <v>50676</v>
      </c>
      <c r="F53" s="30" t="n">
        <f aca="false">E53*(1+Inputs!$B$15)</f>
        <v>52196.28</v>
      </c>
      <c r="G53" s="30" t="n">
        <f aca="false">SUM(D53:F53)</f>
        <v>152072.28</v>
      </c>
    </row>
    <row r="54" customFormat="false" ht="15" hidden="false" customHeight="false" outlineLevel="0" collapsed="false">
      <c r="B54" s="25" t="s">
        <v>129</v>
      </c>
      <c r="D54" s="30" t="n">
        <f aca="false">D53*Inputs!$B$13</f>
        <v>7380</v>
      </c>
      <c r="E54" s="30" t="n">
        <f aca="false">E53*Inputs!$B$13</f>
        <v>7601.4</v>
      </c>
      <c r="F54" s="30" t="n">
        <f aca="false">F53*Inputs!$B$13</f>
        <v>7829.442</v>
      </c>
      <c r="G54" s="30" t="n">
        <f aca="false">SUM(D54:F54)</f>
        <v>22810.842</v>
      </c>
    </row>
    <row r="55" customFormat="false" ht="15" hidden="false" customHeight="false" outlineLevel="0" collapsed="false">
      <c r="B55" s="25" t="s">
        <v>130</v>
      </c>
      <c r="D55" s="30" t="n">
        <f aca="false">G43</f>
        <v>117117</v>
      </c>
      <c r="E55" s="20" t="n">
        <v>0</v>
      </c>
      <c r="F55" s="20" t="n">
        <v>0</v>
      </c>
      <c r="G55" s="30" t="n">
        <f aca="false">SUM(D55:F55)</f>
        <v>117117</v>
      </c>
    </row>
    <row r="56" customFormat="false" ht="15" hidden="false" customHeight="false" outlineLevel="0" collapsed="false">
      <c r="A56" s="22"/>
      <c r="B56" s="2" t="s">
        <v>131</v>
      </c>
      <c r="C56" s="22"/>
      <c r="D56" s="23" t="n">
        <f aca="false">SUM(D53:D55)</f>
        <v>173697</v>
      </c>
      <c r="E56" s="23" t="n">
        <f aca="false">SUM(E53:E55)</f>
        <v>58277.4</v>
      </c>
      <c r="F56" s="23" t="n">
        <f aca="false">SUM(F53:F55)</f>
        <v>60025.722</v>
      </c>
      <c r="G56" s="23" t="n">
        <f aca="false">SUM(G53:G55)</f>
        <v>292000.122</v>
      </c>
    </row>
    <row r="57" customFormat="false" ht="15" hidden="false" customHeight="false" outlineLevel="0" collapsed="false">
      <c r="A57" s="25"/>
      <c r="B57" s="11" t="s">
        <v>132</v>
      </c>
      <c r="C57" s="25"/>
      <c r="D57" s="36" t="n">
        <f aca="false">D56*(1+Inputs!$B$11)</f>
        <v>191066.7</v>
      </c>
      <c r="E57" s="36" t="n">
        <f aca="false">E56*(1+Inputs!$B$11)</f>
        <v>64105.14</v>
      </c>
      <c r="F57" s="36" t="n">
        <f aca="false">F56*(1+Inputs!$B$11)</f>
        <v>66028.2942</v>
      </c>
      <c r="G57" s="36" t="n">
        <f aca="false">G56*(1+Inputs!$B$11)</f>
        <v>321200.1342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133</v>
      </c>
    </row>
    <row r="3" customFormat="false" ht="30" hidden="false" customHeight="true" outlineLevel="0" collapsed="false">
      <c r="A3" s="10" t="s">
        <v>134</v>
      </c>
      <c r="B3" s="10" t="s">
        <v>135</v>
      </c>
      <c r="C3" s="10" t="s">
        <v>136</v>
      </c>
      <c r="D3" s="10" t="s">
        <v>137</v>
      </c>
      <c r="E3" s="10" t="s">
        <v>138</v>
      </c>
    </row>
    <row r="4" customFormat="false" ht="15" hidden="false" customHeight="false" outlineLevel="0" collapsed="false">
      <c r="A4" s="11" t="s">
        <v>139</v>
      </c>
      <c r="B4" s="24" t="s">
        <v>140</v>
      </c>
      <c r="C4" s="37" t="n">
        <v>1</v>
      </c>
      <c r="D4" s="37" t="n">
        <v>3</v>
      </c>
      <c r="E4" s="38" t="n">
        <f aca="false">C4+D4-1</f>
        <v>3</v>
      </c>
    </row>
    <row r="5" customFormat="false" ht="15" hidden="false" customHeight="false" outlineLevel="0" collapsed="false">
      <c r="A5" s="11" t="s">
        <v>141</v>
      </c>
      <c r="B5" s="24" t="s">
        <v>142</v>
      </c>
      <c r="C5" s="37" t="n">
        <v>4</v>
      </c>
      <c r="D5" s="37" t="n">
        <v>8</v>
      </c>
      <c r="E5" s="38" t="n">
        <f aca="false">C5+D5-1</f>
        <v>11</v>
      </c>
    </row>
    <row r="6" customFormat="false" ht="15" hidden="false" customHeight="false" outlineLevel="0" collapsed="false">
      <c r="A6" s="11" t="s">
        <v>143</v>
      </c>
      <c r="B6" s="24" t="s">
        <v>144</v>
      </c>
      <c r="C6" s="37" t="n">
        <v>10</v>
      </c>
      <c r="D6" s="37" t="n">
        <v>5</v>
      </c>
      <c r="E6" s="38" t="n">
        <f aca="false">C6+D6-1</f>
        <v>14</v>
      </c>
    </row>
    <row r="7" customFormat="false" ht="15" hidden="false" customHeight="false" outlineLevel="0" collapsed="false">
      <c r="A7" s="11" t="s">
        <v>145</v>
      </c>
      <c r="B7" s="24" t="s">
        <v>146</v>
      </c>
      <c r="C7" s="37" t="n">
        <v>15</v>
      </c>
      <c r="D7" s="37" t="n">
        <v>4</v>
      </c>
      <c r="E7" s="38" t="n">
        <f aca="false">C7+D7-1</f>
        <v>18</v>
      </c>
    </row>
    <row r="8" customFormat="false" ht="15" hidden="false" customHeight="false" outlineLevel="0" collapsed="false">
      <c r="A8" s="11" t="s">
        <v>147</v>
      </c>
      <c r="B8" s="24" t="s">
        <v>146</v>
      </c>
      <c r="C8" s="37" t="n">
        <v>19</v>
      </c>
      <c r="D8" s="37" t="n">
        <v>4</v>
      </c>
      <c r="E8" s="38" t="n">
        <f aca="false">C8+D8-1</f>
        <v>22</v>
      </c>
    </row>
    <row r="9" customFormat="false" ht="15" hidden="false" customHeight="false" outlineLevel="0" collapsed="false">
      <c r="A9" s="11" t="s">
        <v>148</v>
      </c>
      <c r="B9" s="24" t="s">
        <v>149</v>
      </c>
      <c r="C9" s="37" t="n">
        <v>23</v>
      </c>
      <c r="D9" s="37" t="n">
        <v>4</v>
      </c>
      <c r="E9" s="38" t="n">
        <f aca="false">C9+D9-1</f>
        <v>26</v>
      </c>
    </row>
    <row r="10" customFormat="false" ht="15" hidden="false" customHeight="false" outlineLevel="0" collapsed="false">
      <c r="A10" s="2" t="s">
        <v>150</v>
      </c>
      <c r="B10" s="22"/>
      <c r="C10" s="22"/>
      <c r="D10" s="22"/>
      <c r="E10" s="39" t="n">
        <f aca="false">MAX(E4:E9)</f>
        <v>26</v>
      </c>
    </row>
    <row r="12" customFormat="false" ht="15" hidden="false" customHeight="false" outlineLevel="0" collapsed="false">
      <c r="A12" s="9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152</v>
      </c>
    </row>
    <row r="3" customFormat="false" ht="30" hidden="false" customHeight="true" outlineLevel="0" collapsed="false">
      <c r="A3" s="10" t="s">
        <v>153</v>
      </c>
      <c r="B3" s="10" t="s">
        <v>154</v>
      </c>
    </row>
    <row r="4" customFormat="false" ht="27.75" hidden="false" customHeight="true" outlineLevel="0" collapsed="false">
      <c r="A4" s="11" t="s">
        <v>155</v>
      </c>
      <c r="B4" s="24" t="s">
        <v>156</v>
      </c>
    </row>
    <row r="5" customFormat="false" ht="27.75" hidden="false" customHeight="true" outlineLevel="0" collapsed="false">
      <c r="A5" s="11" t="s">
        <v>155</v>
      </c>
      <c r="B5" s="24" t="s">
        <v>157</v>
      </c>
    </row>
    <row r="6" customFormat="false" ht="27.75" hidden="false" customHeight="true" outlineLevel="0" collapsed="false">
      <c r="A6" s="11" t="s">
        <v>155</v>
      </c>
      <c r="B6" s="24" t="s">
        <v>158</v>
      </c>
    </row>
    <row r="7" customFormat="false" ht="27.75" hidden="false" customHeight="true" outlineLevel="0" collapsed="false">
      <c r="A7" s="11" t="s">
        <v>155</v>
      </c>
      <c r="B7" s="24" t="s">
        <v>159</v>
      </c>
    </row>
    <row r="8" customFormat="false" ht="27.75" hidden="false" customHeight="true" outlineLevel="0" collapsed="false">
      <c r="A8" s="11" t="s">
        <v>160</v>
      </c>
      <c r="B8" s="24" t="s">
        <v>161</v>
      </c>
    </row>
    <row r="9" customFormat="false" ht="27.75" hidden="false" customHeight="true" outlineLevel="0" collapsed="false">
      <c r="A9" s="11" t="s">
        <v>160</v>
      </c>
      <c r="B9" s="24" t="s">
        <v>162</v>
      </c>
    </row>
    <row r="10" customFormat="false" ht="27.75" hidden="false" customHeight="true" outlineLevel="0" collapsed="false">
      <c r="A10" s="11" t="s">
        <v>160</v>
      </c>
      <c r="B10" s="24" t="s">
        <v>163</v>
      </c>
    </row>
    <row r="11" customFormat="false" ht="27.75" hidden="false" customHeight="true" outlineLevel="0" collapsed="false">
      <c r="A11" s="11" t="s">
        <v>164</v>
      </c>
      <c r="B11" s="24" t="s">
        <v>165</v>
      </c>
    </row>
    <row r="12" customFormat="false" ht="27.75" hidden="false" customHeight="true" outlineLevel="0" collapsed="false">
      <c r="A12" s="11" t="s">
        <v>164</v>
      </c>
      <c r="B12" s="24" t="s">
        <v>166</v>
      </c>
    </row>
    <row r="13" customFormat="false" ht="27.75" hidden="false" customHeight="true" outlineLevel="0" collapsed="false">
      <c r="A13" s="11" t="s">
        <v>164</v>
      </c>
      <c r="B13" s="24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2026-10-08T04:53:57Z</dcterms:created>
  <dc:creator>openpyxl</dc:creator>
  <dc:description/>
  <dc:language>en-US</dc:language>
  <cp:lastModifiedBy/>
  <dcterms:modified xsi:type="dcterms:W3CDTF">2026-10-08T04:53:57Z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
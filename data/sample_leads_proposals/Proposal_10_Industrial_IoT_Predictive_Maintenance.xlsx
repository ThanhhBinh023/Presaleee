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roject Roles" sheetId="2" state="visible" r:id="rId2"/>
    <sheet name="Project Management Approach" sheetId="3" state="visible" r:id="rId3"/>
    <sheet name="RAID" sheetId="4" state="visible" r:id="rId4"/>
    <sheet name="Acceptance Docs" sheetId="5" state="visible" r:id="rId5"/>
    <sheet name="FR" sheetId="6" state="visible" r:id="rId6"/>
    <sheet name="Tech-stack" sheetId="7" state="visible" r:id="rId7"/>
    <sheet name="Non-FR" sheetId="8" state="visible" r:id="rId8"/>
    <sheet name="RateCard" sheetId="9" state="visible" r:id="rId9"/>
    <sheet name="Macro Plan &amp; Quot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b val="1"/>
      <color rgb="00334155"/>
      <sz val="9.5"/>
    </font>
    <font>
      <name val="Segoe UI"/>
      <color rgb="000F172A"/>
      <sz val="9.5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DBEAFE"/>
        <b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334155"/>
      </left>
      <right style="thin">
        <color rgb="00334155"/>
      </right>
      <top style="medium">
        <color rgb="000F172A"/>
      </top>
      <bottom style="medium">
        <color rgb="000F172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 indent="1"/>
    </xf>
    <xf numFmtId="0" fontId="0" fillId="5" borderId="1" pivotButton="0" quotePrefix="0" xfId="0"/>
    <xf numFmtId="164" fontId="8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 indent="1"/>
    </xf>
    <xf numFmtId="0" fontId="1" fillId="6" borderId="1" applyAlignment="1" pivotButton="0" quotePrefix="0" xfId="0">
      <alignment horizontal="right" vertical="center" indent="1"/>
    </xf>
    <xf numFmtId="0" fontId="0" fillId="6" borderId="1" pivotButton="0" quotePrefix="0" xfId="0"/>
    <xf numFmtId="164" fontId="1" fillId="6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75" customWidth="1" min="2" max="2"/>
    <col width="20" customWidth="1" min="3" max="3"/>
    <col width="35" customWidth="1" min="4" max="4"/>
    <col width="57" customWidth="1" min="5" max="5"/>
    <col width="15" customWidth="1" min="6" max="6"/>
  </cols>
  <sheetData>
    <row r="1" ht="32" customHeight="1">
      <c r="A1" s="1" t="inlineStr">
        <is>
          <t>PROPOSAL: INDUSTRIAL IOT PREDICTIVE MAINTENANCE &amp; TELEMETRY PLATFORM</t>
        </is>
      </c>
    </row>
    <row r="2" ht="20" customHeight="1">
      <c r="A2" s="2" t="inlineStr">
        <is>
          <t>Client: PrecisionSteel Manufacturing Corporation  |  Proposal ID: PRP-2026-PCS-10  |  Date: 28 October 2026  |  Validity: 30 Days</t>
        </is>
      </c>
    </row>
    <row r="3"/>
    <row r="4" ht="24" customHeight="1">
      <c r="A4" s="3" t="inlineStr">
        <is>
          <t>PROJECT METADATA</t>
        </is>
      </c>
    </row>
    <row r="5" ht="24" customHeight="1">
      <c r="A5" s="4" t="inlineStr">
        <is>
          <t>Client Name</t>
        </is>
      </c>
      <c r="B5" s="5" t="inlineStr">
        <is>
          <t>PrecisionSteel Manufacturing Corporation</t>
        </is>
      </c>
      <c r="C5" s="6" t="n"/>
      <c r="D5" s="4" t="inlineStr">
        <is>
          <t>Presale Solution Lead</t>
        </is>
      </c>
      <c r="E5" s="5" t="inlineStr">
        <is>
          <t>Viktor Novak (Principal IIoT &amp; Industry 4.0 Architect)</t>
        </is>
      </c>
      <c r="F5" s="6" t="n"/>
    </row>
    <row r="6" ht="24" customHeight="1">
      <c r="A6" s="4" t="inlineStr">
        <is>
          <t>Project Code</t>
        </is>
      </c>
      <c r="B6" s="5" t="inlineStr">
        <is>
          <t>PBL6-PCS-IIOT-2026</t>
        </is>
      </c>
      <c r="C6" s="6" t="n"/>
      <c r="D6" s="4" t="inlineStr">
        <is>
          <t>Delivery Manager</t>
        </is>
      </c>
      <c r="E6" s="5" t="inlineStr">
        <is>
          <t>Gerard Sullivan (Senior Industrial Tech Delivery Lead)</t>
        </is>
      </c>
      <c r="F6" s="6" t="n"/>
    </row>
    <row r="7" ht="24" customHeight="1">
      <c r="A7" s="4" t="inlineStr">
        <is>
          <t>Proposal Version</t>
        </is>
      </c>
      <c r="B7" s="5" t="inlineStr">
        <is>
          <t>v1.0 (Full Technical &amp; Commercial)</t>
        </is>
      </c>
      <c r="C7" s="6" t="n"/>
      <c r="D7" s="4" t="inlineStr">
        <is>
          <t>Target Kick-off</t>
        </is>
      </c>
      <c r="E7" s="5" t="inlineStr">
        <is>
          <t>14 December 2026</t>
        </is>
      </c>
      <c r="F7" s="6" t="n"/>
    </row>
    <row r="8" ht="24" customHeight="1">
      <c r="A8" s="4" t="inlineStr">
        <is>
          <t>Primary Objective</t>
        </is>
      </c>
      <c r="B8" s="5" t="inlineStr">
        <is>
          <t>Deploy Industrial IoT Edge Ingestion, AI Anomaly Detection, and SAP PM Auto-Work Orders</t>
        </is>
      </c>
      <c r="C8" s="6" t="n"/>
      <c r="D8" s="4" t="inlineStr">
        <is>
          <t>Total Delivery Duration</t>
        </is>
      </c>
      <c r="E8" s="5" t="inlineStr">
        <is>
          <t>24 Calendar Weeks (12 Sprints)</t>
        </is>
      </c>
      <c r="F8" s="6" t="n"/>
    </row>
    <row r="9"/>
    <row r="10" ht="24" customHeight="1">
      <c r="A10" s="3" t="inlineStr">
        <is>
          <t>EXECUTIVE SUMMARY &amp; 'WHY THIS SOLUTION'</t>
        </is>
      </c>
    </row>
    <row r="11" ht="48" customHeight="1">
      <c r="A11" s="7" t="inlineStr">
        <is>
          <t>Executive Problem Context</t>
        </is>
      </c>
      <c r="B11" s="8" t="inlineStr">
        <is>
          <t>PrecisionSteel experiences catastrophic gearbox failures costing $220k/incident due to 30-day manual inspection cycles. Critical telemetry remains trapped in isolated plant PLCs with zero predictive warning.</t>
        </is>
      </c>
      <c r="C11" s="6" t="n"/>
      <c r="D11" s="6" t="n"/>
      <c r="E11" s="6" t="n"/>
      <c r="F11" s="6" t="n"/>
    </row>
    <row r="12" ht="64" customHeight="1">
      <c r="A12" s="7" t="inlineStr">
        <is>
          <t>Proposed Strategic Solution</t>
        </is>
      </c>
      <c r="B12" s="8" t="inlineStr">
        <is>
          <t>We propose 'SteelPulse Industry 4.0': An edge-to-cloud industrial telemetry platform ingesting continuous OPC-UA/MQTT vibration metrics into AWS IoT Core, running Autoencoder ML anomaly detection to warn of bearing degradation 21 days in advance.</t>
        </is>
      </c>
      <c r="C12" s="6" t="n"/>
      <c r="D12" s="6" t="n"/>
      <c r="E12" s="6" t="n"/>
      <c r="F12" s="6" t="n"/>
    </row>
    <row r="13" ht="80" customHeight="1">
      <c r="A13" s="7" t="inlineStr">
        <is>
          <t>Measurable Business Impact</t>
        </is>
      </c>
      <c r="B13" s="8" t="inlineStr">
        <is>
          <t>• Unplanned mill downtime reduced by 68%, saving an estimated $1.2M annually.
• Machine failure warning lead time extended from 0 days to 21 days predictive horizon.
• Asset maintenance technician productivity increased by 45% via condition-based routing.
• Energy consumption reduced by 8.4% by rescheduling heavy rolling passes outside peak tariffs.</t>
        </is>
      </c>
      <c r="C13" s="6" t="n"/>
      <c r="D13" s="6" t="n"/>
      <c r="E13" s="6" t="n"/>
      <c r="F13" s="6" t="n"/>
    </row>
    <row r="14"/>
    <row r="15" ht="24" customHeight="1">
      <c r="A15" s="3" t="inlineStr">
        <is>
          <t>COMMERCIAL &amp; INVESTMENT SNAPSHOT (USD)</t>
        </is>
      </c>
    </row>
    <row r="16" ht="24" customHeight="1">
      <c r="A16" s="4" t="inlineStr">
        <is>
          <t>Core Services Subtotal</t>
        </is>
      </c>
      <c r="B16" s="5" t="inlineStr">
        <is>
          <t>$192,000 ex GST</t>
        </is>
      </c>
      <c r="C16" s="6" t="n"/>
      <c r="D16" s="4" t="inlineStr">
        <is>
          <t>Warranty &amp; Support Period</t>
        </is>
      </c>
      <c r="E16" s="5" t="inlineStr">
        <is>
          <t>90 Calendar Days Hypercare Included</t>
        </is>
      </c>
      <c r="F16" s="6" t="n"/>
    </row>
    <row r="17" ht="24" customHeight="1">
      <c r="A17" s="4" t="inlineStr">
        <is>
          <t>Project Contingency Buffer (10%)</t>
        </is>
      </c>
      <c r="B17" s="5" t="inlineStr">
        <is>
          <t>$19,200</t>
        </is>
      </c>
      <c r="C17" s="6" t="n"/>
      <c r="D17" s="4" t="inlineStr">
        <is>
          <t>Payment Term Milestone Structure</t>
        </is>
      </c>
      <c r="E17" s="5" t="inlineStr">
        <is>
          <t>5 Milestone Gates (20/25/30/15/10)</t>
        </is>
      </c>
      <c r="F17" s="6" t="n"/>
    </row>
    <row r="18" ht="24" customHeight="1">
      <c r="A18" s="4" t="inlineStr">
        <is>
          <t>Total Delivery Investment</t>
        </is>
      </c>
      <c r="B18" s="5" t="inlineStr">
        <is>
          <t>$211,200 ex GST</t>
        </is>
      </c>
      <c r="C18" s="6" t="n"/>
      <c r="D18" s="4" t="inlineStr">
        <is>
          <t>Ongoing SLA Support (Tier 2/3)</t>
        </is>
      </c>
      <c r="E18" s="5" t="inlineStr">
        <is>
          <t>Optional AUD $5,500/month (99.95% Uptime SLA)</t>
        </is>
      </c>
      <c r="F18" s="6" t="n"/>
    </row>
  </sheetData>
  <mergeCells count="22">
    <mergeCell ref="B16:C16"/>
    <mergeCell ref="B7:C7"/>
    <mergeCell ref="E5:F5"/>
    <mergeCell ref="B18:C18"/>
    <mergeCell ref="E17:F17"/>
    <mergeCell ref="E8:F8"/>
    <mergeCell ref="A2:F2"/>
    <mergeCell ref="B12:F12"/>
    <mergeCell ref="B11:F11"/>
    <mergeCell ref="A4:F4"/>
    <mergeCell ref="B17:C17"/>
    <mergeCell ref="B8:C8"/>
    <mergeCell ref="B13:F13"/>
    <mergeCell ref="E6:F6"/>
    <mergeCell ref="A10:F10"/>
    <mergeCell ref="A15:F15"/>
    <mergeCell ref="B6:C6"/>
    <mergeCell ref="E16:F16"/>
    <mergeCell ref="E7:F7"/>
    <mergeCell ref="B5:C5"/>
    <mergeCell ref="A1:F1"/>
    <mergeCell ref="E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9" customWidth="1" min="3" max="3"/>
    <col width="75" customWidth="1" min="4" max="4"/>
    <col width="46" customWidth="1" min="5" max="5"/>
    <col width="14" customWidth="1" min="6" max="6"/>
    <col width="10" customWidth="1" min="7" max="7"/>
  </cols>
  <sheetData>
    <row r="1" ht="28" customHeight="1">
      <c r="A1" s="1" t="inlineStr">
        <is>
          <t>PROJECT ORGANIZATION &amp; TEAM ROLES</t>
        </is>
      </c>
    </row>
    <row r="2" ht="18" customHeight="1">
      <c r="A2" s="2" t="inlineStr">
        <is>
          <t>Governance structure, resource allocation and RACI matrix.</t>
        </is>
      </c>
    </row>
    <row r="3"/>
    <row r="4" ht="24" customHeight="1">
      <c r="A4" s="9" t="inlineStr">
        <is>
          <t>Role Title</t>
        </is>
      </c>
      <c r="B4" s="9" t="inlineStr">
        <is>
          <t>Organization</t>
        </is>
      </c>
      <c r="C4" s="9" t="inlineStr">
        <is>
          <t>Allocation</t>
        </is>
      </c>
      <c r="D4" s="9" t="inlineStr">
        <is>
          <t>Primary Responsibilities</t>
        </is>
      </c>
      <c r="E4" s="9" t="inlineStr">
        <is>
          <t>Key Deliverables Owned</t>
        </is>
      </c>
      <c r="F4" s="9" t="inlineStr">
        <is>
          <t>Seniority</t>
        </is>
      </c>
    </row>
    <row r="5" ht="28" customHeight="1">
      <c r="A5" s="10" t="inlineStr">
        <is>
          <t>IIoT &amp; Industry 4.0 Architect</t>
        </is>
      </c>
      <c r="B5" s="11" t="inlineStr">
        <is>
          <t>Vendor</t>
        </is>
      </c>
      <c r="C5" s="11" t="inlineStr">
        <is>
          <t>Part-Time (40%)</t>
        </is>
      </c>
      <c r="D5" s="10" t="inlineStr">
        <is>
          <t>OPC-UA edge gateway architecture, AWS IoT Core design, IEC 62443 industrial security</t>
        </is>
      </c>
      <c r="E5" s="10" t="inlineStr">
        <is>
          <t>Architecture Blueprint, Edge Telemetry Spec</t>
        </is>
      </c>
      <c r="F5" s="11" t="inlineStr">
        <is>
          <t>Principal</t>
        </is>
      </c>
    </row>
    <row r="6" ht="28" customHeight="1">
      <c r="A6" s="12" t="inlineStr">
        <is>
          <t>Project Manager</t>
        </is>
      </c>
      <c r="B6" s="13" t="inlineStr">
        <is>
          <t>Vendor</t>
        </is>
      </c>
      <c r="C6" s="13" t="inlineStr">
        <is>
          <t>Full-Time (100%)</t>
        </is>
      </c>
      <c r="D6" s="12" t="inlineStr">
        <is>
          <t>Sprint governance, plant site safety protocols, SAP PM integration oversight</t>
        </is>
      </c>
      <c r="E6" s="12" t="inlineStr">
        <is>
          <t>Project Plan, Risk Register</t>
        </is>
      </c>
      <c r="F6" s="13" t="inlineStr">
        <is>
          <t>Senior</t>
        </is>
      </c>
    </row>
    <row r="7" ht="28" customHeight="1">
      <c r="A7" s="10" t="inlineStr">
        <is>
          <t>Technical Lead</t>
        </is>
      </c>
      <c r="B7" s="11" t="inlineStr">
        <is>
          <t>Vendor</t>
        </is>
      </c>
      <c r="C7" s="11" t="inlineStr">
        <is>
          <t>Full-Time (100%)</t>
        </is>
      </c>
      <c r="D7" s="10" t="inlineStr">
        <is>
          <t>Edge computing runtime, time-series database architecture, code review quality gate</t>
        </is>
      </c>
      <c r="E7" s="10" t="inlineStr">
        <is>
          <t>Core Codebase, CI/CD Pipeline</t>
        </is>
      </c>
      <c r="F7" s="11" t="inlineStr">
        <is>
          <t>Lead</t>
        </is>
      </c>
    </row>
    <row r="8" ht="28" customHeight="1">
      <c r="A8" s="12" t="inlineStr">
        <is>
          <t>Senior Data / ML Engineer</t>
        </is>
      </c>
      <c r="B8" s="13" t="inlineStr">
        <is>
          <t>Vendor</t>
        </is>
      </c>
      <c r="C8" s="13" t="inlineStr">
        <is>
          <t>Full-Time (100%)</t>
        </is>
      </c>
      <c r="D8" s="12" t="inlineStr">
        <is>
          <t>Fast Fourier Transform (FFT) feature engineering, unsupervised anomaly detection models</t>
        </is>
      </c>
      <c r="E8" s="12" t="inlineStr">
        <is>
          <t>ML Models, Pipeline Specifications</t>
        </is>
      </c>
      <c r="F8" s="13" t="inlineStr">
        <is>
          <t>Senior</t>
        </is>
      </c>
    </row>
    <row r="9" ht="28" customHeight="1">
      <c r="A9" s="10" t="inlineStr">
        <is>
          <t>Senior Backend Engineers (2)</t>
        </is>
      </c>
      <c r="B9" s="11" t="inlineStr">
        <is>
          <t>Vendor</t>
        </is>
      </c>
      <c r="C9" s="11" t="inlineStr">
        <is>
          <t>Full-Time (200%)</t>
        </is>
      </c>
      <c r="D9" s="10" t="inlineStr">
        <is>
          <t>Time-series stream processing, asset hierarchy API, SAP PM bidirectional connector</t>
        </is>
      </c>
      <c r="E9" s="10" t="inlineStr">
        <is>
          <t>REST APIs, Ingestion Services</t>
        </is>
      </c>
      <c r="F9" s="11" t="inlineStr">
        <is>
          <t>Senior</t>
        </is>
      </c>
    </row>
    <row r="10" ht="28" customHeight="1">
      <c r="A10" s="12" t="inlineStr">
        <is>
          <t>Senior Frontend Engineer</t>
        </is>
      </c>
      <c r="B10" s="13" t="inlineStr">
        <is>
          <t>Vendor</t>
        </is>
      </c>
      <c r="C10" s="13" t="inlineStr">
        <is>
          <t>Full-Time (100%)</t>
        </is>
      </c>
      <c r="D10" s="12" t="inlineStr">
        <is>
          <t>Next.js asset health dashboard, interactive 3D digital twin viewer, alert console</t>
        </is>
      </c>
      <c r="E10" s="12" t="inlineStr">
        <is>
          <t>Web Portals, Telemetry Visuals</t>
        </is>
      </c>
      <c r="F10" s="13" t="inlineStr">
        <is>
          <t>Senior</t>
        </is>
      </c>
    </row>
    <row r="11" ht="28" customHeight="1">
      <c r="A11" s="10" t="inlineStr">
        <is>
          <t>QA / Field Commissioning Lead</t>
        </is>
      </c>
      <c r="B11" s="11" t="inlineStr">
        <is>
          <t>Vendor</t>
        </is>
      </c>
      <c r="C11" s="11" t="inlineStr">
        <is>
          <t>Full-Time (100%)</t>
        </is>
      </c>
      <c r="D11" s="10" t="inlineStr">
        <is>
          <t>Industrial vibration sensor calibration, edge failover testing, load testing</t>
        </is>
      </c>
      <c r="E11" s="10" t="inlineStr">
        <is>
          <t>Test Suite, Commissioning Certificate</t>
        </is>
      </c>
      <c r="F11" s="11" t="inlineStr">
        <is>
          <t>Senior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75" customWidth="1" min="2" max="2"/>
    <col width="25" customWidth="1" min="3" max="3"/>
    <col width="25" customWidth="1" min="4" max="4"/>
    <col width="20" customWidth="1" min="5" max="5"/>
  </cols>
  <sheetData>
    <row r="1" ht="28" customHeight="1">
      <c r="A1" s="1" t="inlineStr">
        <is>
          <t>PROJECT MANAGEMENT &amp; DELIVERY METHODOLOGY</t>
        </is>
      </c>
    </row>
    <row r="2" ht="18" customHeight="1">
      <c r="A2" s="2" t="inlineStr">
        <is>
          <t>Agile Scrum framework, ceremonies, quality gates, and communication cadence.</t>
        </is>
      </c>
    </row>
    <row r="3"/>
    <row r="4" ht="24" customHeight="1">
      <c r="A4" s="3" t="inlineStr">
        <is>
          <t>1. AGILE DELIVERY FRAMEWORK &amp; SPRINTS</t>
        </is>
      </c>
    </row>
    <row r="5" ht="24" customHeight="1">
      <c r="A5" s="4" t="inlineStr">
        <is>
          <t>Sprint Duration</t>
        </is>
      </c>
      <c r="B5" s="14" t="inlineStr">
        <is>
          <t>2 Calendar Weeks per Sprint.</t>
        </is>
      </c>
      <c r="C5" s="6" t="n"/>
      <c r="D5" s="6" t="n"/>
      <c r="E5" s="6" t="n"/>
    </row>
    <row r="6" ht="42" customHeight="1">
      <c r="A6" s="4" t="inlineStr">
        <is>
          <t>Sprint Planning</t>
        </is>
      </c>
      <c r="B6" s="14" t="inlineStr">
        <is>
          <t>Alternate Mondays (9:00 AM - 11:00 AM). User stories estimated via Fibonacci planning poker.</t>
        </is>
      </c>
      <c r="C6" s="6" t="n"/>
      <c r="D6" s="6" t="n"/>
      <c r="E6" s="6" t="n"/>
    </row>
    <row r="7" ht="42" customHeight="1">
      <c r="A7" s="4" t="inlineStr">
        <is>
          <t>Daily Standup</t>
        </is>
      </c>
      <c r="B7" s="14" t="inlineStr">
        <is>
          <t>15-minute daily sync at 9:30 AM via Slack/Google Meet: Yesterday, Today, Blockers.</t>
        </is>
      </c>
      <c r="C7" s="6" t="n"/>
      <c r="D7" s="6" t="n"/>
      <c r="E7" s="6" t="n"/>
    </row>
    <row r="8" ht="42" customHeight="1">
      <c r="A8" s="4" t="inlineStr">
        <is>
          <t>Sprint Review &amp; Live Demo</t>
        </is>
      </c>
      <c r="B8" s="14" t="inlineStr">
        <is>
          <t>Alternate Fridays (3:00 PM - 4:00 PM). Live functional demonstration in Staging.</t>
        </is>
      </c>
      <c r="C8" s="6" t="n"/>
      <c r="D8" s="6" t="n"/>
      <c r="E8" s="6" t="n"/>
    </row>
    <row r="9" ht="42" customHeight="1">
      <c r="A9" s="4" t="inlineStr">
        <is>
          <t>Sprint Retrospective</t>
        </is>
      </c>
      <c r="B9" s="14" t="inlineStr">
        <is>
          <t>Alternate Fridays (4:00 PM - 5:00 PM). Continuous process improvement and velocity review.</t>
        </is>
      </c>
      <c r="C9" s="6" t="n"/>
      <c r="D9" s="6" t="n"/>
      <c r="E9" s="6" t="n"/>
    </row>
    <row r="10"/>
    <row r="11" ht="24" customHeight="1">
      <c r="A11" s="3" t="inlineStr">
        <is>
          <t>2. TOOLING &amp; COLLABORATION PLATFORMS</t>
        </is>
      </c>
    </row>
    <row r="12" ht="24" customHeight="1">
      <c r="A12" s="4" t="inlineStr">
        <is>
          <t>Project Management &amp; Backlog</t>
        </is>
      </c>
      <c r="B12" s="14" t="inlineStr">
        <is>
          <t>Jira Software – Epics, User Stories, Bug tracking, Sprint Burndown Charts.</t>
        </is>
      </c>
      <c r="C12" s="6" t="n"/>
      <c r="D12" s="6" t="n"/>
      <c r="E12" s="6" t="n"/>
    </row>
    <row r="13" ht="24" customHeight="1">
      <c r="A13" s="4" t="inlineStr">
        <is>
          <t>Documentation &amp; Knowledge Base</t>
        </is>
      </c>
      <c r="B13" s="14" t="inlineStr">
        <is>
          <t>Confluence – Architecture Decision Records (ADRs), API specs, Runbooks.</t>
        </is>
      </c>
      <c r="C13" s="6" t="n"/>
      <c r="D13" s="6" t="n"/>
      <c r="E13" s="6" t="n"/>
    </row>
    <row r="14" ht="42" customHeight="1">
      <c r="A14" s="4" t="inlineStr">
        <is>
          <t>Version Control &amp; CI/CD</t>
        </is>
      </c>
      <c r="B14" s="14" t="inlineStr">
        <is>
          <t>GitHub Enterprise – Trunk-based development, 2 peer approvals per PR, automated tests.</t>
        </is>
      </c>
      <c r="C14" s="6" t="n"/>
      <c r="D14" s="6" t="n"/>
      <c r="E14" s="6" t="n"/>
    </row>
    <row r="15" ht="24" customHeight="1">
      <c r="A15" s="4" t="inlineStr">
        <is>
          <t>UI/UX Design Collaboration</t>
        </is>
      </c>
      <c r="B15" s="14" t="inlineStr">
        <is>
          <t>Figma – Design systems, mobile viewports, click-through interactive prototypes.</t>
        </is>
      </c>
      <c r="C15" s="6" t="n"/>
      <c r="D15" s="6" t="n"/>
      <c r="E15" s="6" t="n"/>
    </row>
    <row r="16" ht="42" customHeight="1">
      <c r="A16" s="4" t="inlineStr">
        <is>
          <t>Real-Time Communications</t>
        </is>
      </c>
      <c r="B16" s="14" t="inlineStr">
        <is>
          <t>Slack – Dedicated shared channels (#project-daily, #project-tech-dev, #project-announcements).</t>
        </is>
      </c>
      <c r="C16" s="6" t="n"/>
      <c r="D16" s="6" t="n"/>
      <c r="E16" s="6" t="n"/>
    </row>
    <row r="17"/>
    <row r="18" ht="24" customHeight="1">
      <c r="A18" s="3" t="inlineStr">
        <is>
          <t>3. QUALITY GOVERNANCE &amp; CODE REVIEW GATES</t>
        </is>
      </c>
    </row>
    <row r="19" ht="42" customHeight="1">
      <c r="A19" s="4" t="inlineStr">
        <is>
          <t>Code Review Standards</t>
        </is>
      </c>
      <c r="B19" s="14" t="inlineStr">
        <is>
          <t>Every PR requires 2 peer approvals (including Tech Lead). Automated linter and formatting checks.</t>
        </is>
      </c>
      <c r="C19" s="6" t="n"/>
      <c r="D19" s="6" t="n"/>
      <c r="E19" s="6" t="n"/>
    </row>
    <row r="20" ht="42" customHeight="1">
      <c r="A20" s="4" t="inlineStr">
        <is>
          <t>Automated Test Gates</t>
        </is>
      </c>
      <c r="B20" s="14" t="inlineStr">
        <is>
          <t>SonarQube scan: 0 critical vulnerabilities, &lt; 3% code duplication, &gt;= 80% unit test coverage.</t>
        </is>
      </c>
      <c r="C20" s="6" t="n"/>
      <c r="D20" s="6" t="n"/>
      <c r="E20" s="6" t="n"/>
    </row>
    <row r="21" ht="42" customHeight="1">
      <c r="A21" s="4" t="inlineStr">
        <is>
          <t>Deployment Automation</t>
        </is>
      </c>
      <c r="B21" s="14" t="inlineStr">
        <is>
          <t>Automated deployment to Dev on merge; automated Staging deployment on sprint release tag.</t>
        </is>
      </c>
      <c r="C21" s="6" t="n"/>
      <c r="D21" s="6" t="n"/>
      <c r="E21" s="6" t="n"/>
    </row>
    <row r="22"/>
    <row r="23" ht="24" customHeight="1">
      <c r="A23" s="3" t="inlineStr">
        <is>
          <t>4. SCOPE CHANGE MANAGEMENT PROCEDURE (CR)</t>
        </is>
      </c>
    </row>
    <row r="24" ht="42" customHeight="1">
      <c r="A24" s="4" t="inlineStr">
        <is>
          <t>Change Request Trigger</t>
        </is>
      </c>
      <c r="B24" s="14" t="inlineStr">
        <is>
          <t>Any requirement deviation exceeding 10% of agreed Functional Requirements baseline.</t>
        </is>
      </c>
      <c r="C24" s="6" t="n"/>
      <c r="D24" s="6" t="n"/>
      <c r="E24" s="6" t="n"/>
    </row>
    <row r="25" ht="42" customHeight="1">
      <c r="A25" s="4" t="inlineStr">
        <is>
          <t>Impact Assessment</t>
        </is>
      </c>
      <c r="B25" s="14" t="inlineStr">
        <is>
          <t>Vendor PM &amp; Architect evaluate budget, timeline, and dependencies within 48 business hours.</t>
        </is>
      </c>
      <c r="C25" s="6" t="n"/>
      <c r="D25" s="6" t="n"/>
      <c r="E25" s="6" t="n"/>
    </row>
    <row r="26" ht="24" customHeight="1">
      <c r="A26" s="4" t="inlineStr">
        <is>
          <t>Commercial Agreement</t>
        </is>
      </c>
      <c r="B26" s="14" t="inlineStr">
        <is>
          <t>Formal Change Order document signed off by Client Sponsor prior to execution.</t>
        </is>
      </c>
      <c r="C26" s="6" t="n"/>
      <c r="D26" s="6" t="n"/>
      <c r="E26" s="6" t="n"/>
    </row>
  </sheetData>
  <mergeCells count="22">
    <mergeCell ref="B9:E9"/>
    <mergeCell ref="B6:E6"/>
    <mergeCell ref="A11:E11"/>
    <mergeCell ref="B15:E15"/>
    <mergeCell ref="A1:E1"/>
    <mergeCell ref="B24:E24"/>
    <mergeCell ref="B5:E5"/>
    <mergeCell ref="B20:E20"/>
    <mergeCell ref="B26:E26"/>
    <mergeCell ref="B16:E16"/>
    <mergeCell ref="B7:E7"/>
    <mergeCell ref="B25:E25"/>
    <mergeCell ref="A18:E18"/>
    <mergeCell ref="A2:E2"/>
    <mergeCell ref="B12:E12"/>
    <mergeCell ref="B21:E21"/>
    <mergeCell ref="A23:E23"/>
    <mergeCell ref="B14:E14"/>
    <mergeCell ref="A4:E4"/>
    <mergeCell ref="B8:E8"/>
    <mergeCell ref="B13:E13"/>
    <mergeCell ref="B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75" customWidth="1" min="3" max="3"/>
    <col width="12" customWidth="1" min="4" max="4"/>
    <col width="14" customWidth="1" min="5" max="5"/>
    <col width="75" customWidth="1" min="6" max="6"/>
    <col width="21" customWidth="1" min="7" max="7"/>
  </cols>
  <sheetData>
    <row r="1" ht="28" customHeight="1">
      <c r="A1" s="1" t="inlineStr">
        <is>
          <t>RAID LOG: RISKS, ASSUMPTIONS, ISSUES &amp; DEPENDENCIES</t>
        </is>
      </c>
    </row>
    <row r="2" ht="18" customHeight="1">
      <c r="A2" s="2" t="inlineStr">
        <is>
          <t>Active risk management matrix monitored continuously.</t>
        </is>
      </c>
    </row>
    <row r="3"/>
    <row r="4" ht="24" customHeight="1">
      <c r="A4" s="9" t="inlineStr">
        <is>
          <t>ID</t>
        </is>
      </c>
      <c r="B4" s="9" t="inlineStr">
        <is>
          <t>Category</t>
        </is>
      </c>
      <c r="C4" s="9" t="inlineStr">
        <is>
          <t>Item Description</t>
        </is>
      </c>
      <c r="D4" s="9" t="inlineStr">
        <is>
          <t>Impact</t>
        </is>
      </c>
      <c r="E4" s="9" t="inlineStr">
        <is>
          <t>Probability</t>
        </is>
      </c>
      <c r="F4" s="9" t="inlineStr">
        <is>
          <t>Mitigation Strategy &amp; Action Plan</t>
        </is>
      </c>
      <c r="G4" s="9" t="inlineStr">
        <is>
          <t>Owner</t>
        </is>
      </c>
    </row>
    <row r="5" ht="32" customHeight="1">
      <c r="A5" s="15" t="inlineStr">
        <is>
          <t>RSK-01</t>
        </is>
      </c>
      <c r="B5" s="15" t="inlineStr">
        <is>
          <t>Risk</t>
        </is>
      </c>
      <c r="C5" s="10" t="inlineStr">
        <is>
          <t>Harsh plant environment (extreme heat, metal dust, electromagnetic interference) degrading sensors.</t>
        </is>
      </c>
      <c r="D5" s="15" t="inlineStr">
        <is>
          <t>High</t>
        </is>
      </c>
      <c r="E5" s="15" t="inlineStr">
        <is>
          <t>Low</t>
        </is>
      </c>
      <c r="F5" s="10" t="inlineStr">
        <is>
          <t>Specify IP68 / ATEX Zone 2 rated industrial vibration transmitters with shielded cabling.</t>
        </is>
      </c>
      <c r="G5" s="15" t="inlineStr">
        <is>
          <t>Hardware Lead</t>
        </is>
      </c>
    </row>
    <row r="6" ht="32" customHeight="1">
      <c r="A6" s="16" t="inlineStr">
        <is>
          <t>RSK-02</t>
        </is>
      </c>
      <c r="B6" s="16" t="inlineStr">
        <is>
          <t>Risk</t>
        </is>
      </c>
      <c r="C6" s="12" t="inlineStr">
        <is>
          <t>Industrial OT network firewall restrictions preventing outbound cloud MQTT traffic.</t>
        </is>
      </c>
      <c r="D6" s="16" t="inlineStr">
        <is>
          <t>High</t>
        </is>
      </c>
      <c r="E6" s="16" t="inlineStr">
        <is>
          <t>Low</t>
        </is>
      </c>
      <c r="F6" s="12" t="inlineStr">
        <is>
          <t>Deploy DMZ edge gateway with outbound-only TLS 1.3 mTLS connection to AWS IoT Core.</t>
        </is>
      </c>
      <c r="G6" s="16" t="inlineStr">
        <is>
          <t>Security Architect</t>
        </is>
      </c>
    </row>
    <row r="7" ht="32" customHeight="1">
      <c r="A7" s="15" t="inlineStr">
        <is>
          <t>DEP-01</t>
        </is>
      </c>
      <c r="B7" s="15" t="inlineStr">
        <is>
          <t>Dependency</t>
        </is>
      </c>
      <c r="C7" s="10" t="inlineStr">
        <is>
          <t>OPC-UA server tag configuration and access credentials provided by plant SCADA team.</t>
        </is>
      </c>
      <c r="D7" s="15" t="inlineStr">
        <is>
          <t>High</t>
        </is>
      </c>
      <c r="E7" s="15" t="inlineStr">
        <is>
          <t>Open</t>
        </is>
      </c>
      <c r="F7" s="10" t="inlineStr">
        <is>
          <t>Plant automation manager scheduled tag mapping workshop for Week 2.</t>
        </is>
      </c>
      <c r="G7" s="15" t="inlineStr">
        <is>
          <t>Client SCADA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75" customWidth="1" min="2" max="2"/>
    <col width="75" customWidth="1" min="3" max="3"/>
    <col width="23" customWidth="1" min="4" max="4"/>
    <col width="24" customWidth="1" min="5" max="5"/>
    <col width="49" customWidth="1" min="6" max="6"/>
  </cols>
  <sheetData>
    <row r="1" ht="28" customHeight="1">
      <c r="A1" s="1" t="inlineStr">
        <is>
          <t>QUALITY ASSURANCE, ACCEPTANCE CRITERIA &amp; DEFECT SLA</t>
        </is>
      </c>
    </row>
    <row r="2" ht="18" customHeight="1">
      <c r="A2" s="2" t="inlineStr">
        <is>
          <t>Definition of Done (DoD) and production defect severity SLAs.</t>
        </is>
      </c>
    </row>
    <row r="3"/>
    <row r="4" ht="24" customHeight="1">
      <c r="A4" s="3" t="inlineStr">
        <is>
          <t>1. DEFINITION OF DONE (DoD) FOR SPRINT USER STORIES</t>
        </is>
      </c>
    </row>
    <row r="5" ht="22" customHeight="1">
      <c r="A5" s="4" t="inlineStr">
        <is>
          <t>Criterion 1: Code Review</t>
        </is>
      </c>
      <c r="B5" s="14" t="inlineStr">
        <is>
          <t>All code committed to feature branch, passed linter, approved by 2 senior developers via GitHub PR.</t>
        </is>
      </c>
      <c r="C5" s="6" t="n"/>
      <c r="D5" s="6" t="n"/>
      <c r="E5" s="6" t="n"/>
      <c r="F5" s="6" t="n"/>
    </row>
    <row r="6" ht="22" customHeight="1">
      <c r="A6" s="4" t="inlineStr">
        <is>
          <t>Criterion 2: Automated Tests</t>
        </is>
      </c>
      <c r="B6" s="14" t="inlineStr">
        <is>
          <t>Unit tests written and passing with &gt;= 80% code coverage. Automated integration tests pass.</t>
        </is>
      </c>
      <c r="C6" s="6" t="n"/>
      <c r="D6" s="6" t="n"/>
      <c r="E6" s="6" t="n"/>
      <c r="F6" s="6" t="n"/>
    </row>
    <row r="7" ht="22" customHeight="1">
      <c r="A7" s="4" t="inlineStr">
        <is>
          <t>Criterion 3: Security &amp; Quality</t>
        </is>
      </c>
      <c r="B7" s="14" t="inlineStr">
        <is>
          <t>SonarQube scan passes with 0 Blocker/Critical bugs and 0 high-severity security vulnerabilities.</t>
        </is>
      </c>
      <c r="C7" s="6" t="n"/>
      <c r="D7" s="6" t="n"/>
      <c r="E7" s="6" t="n"/>
      <c r="F7" s="6" t="n"/>
    </row>
    <row r="8" ht="22" customHeight="1">
      <c r="A8" s="4" t="inlineStr">
        <is>
          <t>Criterion 4: Deployment &amp; Config</t>
        </is>
      </c>
      <c r="B8" s="14" t="inlineStr">
        <is>
          <t>Code automatically deployed to Staging with database migration scripts verified idempotently.</t>
        </is>
      </c>
      <c r="C8" s="6" t="n"/>
      <c r="D8" s="6" t="n"/>
      <c r="E8" s="6" t="n"/>
      <c r="F8" s="6" t="n"/>
    </row>
    <row r="9" ht="22" customHeight="1">
      <c r="A9" s="4" t="inlineStr">
        <is>
          <t>Criterion 5: Documentation</t>
        </is>
      </c>
      <c r="B9" s="14" t="inlineStr">
        <is>
          <t>API documentation generated via OpenAPI/Swagger. Architecture decisions recorded in Confluence.</t>
        </is>
      </c>
      <c r="C9" s="6" t="n"/>
      <c r="D9" s="6" t="n"/>
      <c r="E9" s="6" t="n"/>
      <c r="F9" s="6" t="n"/>
    </row>
    <row r="10" ht="22" customHeight="1">
      <c r="A10" s="4" t="inlineStr">
        <is>
          <t>Criterion 6: Acceptance Sign-off</t>
        </is>
      </c>
      <c r="B10" s="14" t="inlineStr">
        <is>
          <t>Client Product Owner verifies story in Staging and marks Jira story 'Accepted'.</t>
        </is>
      </c>
      <c r="C10" s="6" t="n"/>
      <c r="D10" s="6" t="n"/>
      <c r="E10" s="6" t="n"/>
      <c r="F10" s="6" t="n"/>
    </row>
    <row r="11"/>
    <row r="12" ht="24" customHeight="1">
      <c r="A12" s="3" t="inlineStr">
        <is>
          <t>2. DEFECT SEVERITY CLASSIFICATION &amp; RESOLUTION SLA (UAT &amp; WARRANTY)</t>
        </is>
      </c>
    </row>
    <row r="13" ht="24" customHeight="1">
      <c r="A13" s="9" t="inlineStr">
        <is>
          <t>Severity Level</t>
        </is>
      </c>
      <c r="B13" s="9" t="inlineStr">
        <is>
          <t>Definition</t>
        </is>
      </c>
      <c r="C13" s="9" t="inlineStr">
        <is>
          <t>Example Scenario</t>
        </is>
      </c>
      <c r="D13" s="9" t="inlineStr">
        <is>
          <t>Initial Response SLA</t>
        </is>
      </c>
      <c r="E13" s="9" t="inlineStr">
        <is>
          <t>Target Resolution SLA</t>
        </is>
      </c>
      <c r="F13" s="9" t="inlineStr">
        <is>
          <t>Exit Gate Impact</t>
        </is>
      </c>
    </row>
    <row r="14" ht="32" customHeight="1">
      <c r="A14" s="13" t="inlineStr">
        <is>
          <t>P1 – Blocker</t>
        </is>
      </c>
      <c r="B14" s="12" t="inlineStr">
        <is>
          <t>Critical system outage, total data loss risk, or complete stoppage of core checkout/operations.</t>
        </is>
      </c>
      <c r="C14" s="12" t="inlineStr">
        <is>
          <t>Core transaction engine crashes; all user transactions cease.</t>
        </is>
      </c>
      <c r="D14" s="13" t="inlineStr">
        <is>
          <t>&lt; 1 Hour</t>
        </is>
      </c>
      <c r="E14" s="13" t="inlineStr">
        <is>
          <t>&lt; 4 Hours</t>
        </is>
      </c>
      <c r="F14" s="12" t="inlineStr">
        <is>
          <t>Blocks Milestone Go-Live (Zero P1 tolerated)</t>
        </is>
      </c>
    </row>
    <row r="15" ht="32" customHeight="1">
      <c r="A15" s="11" t="inlineStr">
        <is>
          <t>P2 – Critical</t>
        </is>
      </c>
      <c r="B15" s="10" t="inlineStr">
        <is>
          <t>Major feature unusable with no reasonable workaround available for staff or users.</t>
        </is>
      </c>
      <c r="C15" s="10" t="inlineStr">
        <is>
          <t>Primary workflow crashes on specific supported browser/device.</t>
        </is>
      </c>
      <c r="D15" s="11" t="inlineStr">
        <is>
          <t>&lt; 2 Hours</t>
        </is>
      </c>
      <c r="E15" s="11" t="inlineStr">
        <is>
          <t>&lt; 8 Hours</t>
        </is>
      </c>
      <c r="F15" s="10" t="inlineStr">
        <is>
          <t>Blocks Milestone Go-Live (Zero P2 tolerated)</t>
        </is>
      </c>
    </row>
    <row r="16" ht="32" customHeight="1">
      <c r="A16" s="13" t="inlineStr">
        <is>
          <t>P3 – Major</t>
        </is>
      </c>
      <c r="B16" s="12" t="inlineStr">
        <is>
          <t>Feature failure but reasonable manual workaround exists without business disruption.</t>
        </is>
      </c>
      <c r="C16" s="12" t="inlineStr">
        <is>
          <t>Non-critical notification fails to trigger; alternative channel delivers status.</t>
        </is>
      </c>
      <c r="D16" s="13" t="inlineStr">
        <is>
          <t>&lt; 4 Hours</t>
        </is>
      </c>
      <c r="E16" s="13" t="inlineStr">
        <is>
          <t>&lt; 24 Hours</t>
        </is>
      </c>
      <c r="F16" s="12" t="inlineStr">
        <is>
          <t>Max 3 open P3 allowed with approved fix plan</t>
        </is>
      </c>
    </row>
    <row r="17" ht="32" customHeight="1">
      <c r="A17" s="11" t="inlineStr">
        <is>
          <t>P4 – Minor</t>
        </is>
      </c>
      <c r="B17" s="10" t="inlineStr">
        <is>
          <t>Cosmetic, minor UI alignment issue, or minor typo with zero functional impact.</t>
        </is>
      </c>
      <c r="C17" s="10" t="inlineStr">
        <is>
          <t>Dashboard chart legend overlaps slightly on mobile viewport resolution.</t>
        </is>
      </c>
      <c r="D17" s="11" t="inlineStr">
        <is>
          <t>&lt; 8 Hours</t>
        </is>
      </c>
      <c r="E17" s="11" t="inlineStr">
        <is>
          <t>&lt; 72 Hours</t>
        </is>
      </c>
      <c r="F17" s="10" t="inlineStr">
        <is>
          <t>Resolved in subsequent scheduled patch release</t>
        </is>
      </c>
    </row>
  </sheetData>
  <mergeCells count="10">
    <mergeCell ref="A2:F2"/>
    <mergeCell ref="B7:F7"/>
    <mergeCell ref="B6:F6"/>
    <mergeCell ref="B10:F10"/>
    <mergeCell ref="A1:F1"/>
    <mergeCell ref="B5:F5"/>
    <mergeCell ref="A12:F12"/>
    <mergeCell ref="A4:F4"/>
    <mergeCell ref="B8:F8"/>
    <mergeCell ref="B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24" customWidth="1" min="2" max="2"/>
    <col width="37" customWidth="1" min="3" max="3"/>
    <col width="75" customWidth="1" min="4" max="4"/>
    <col width="20" customWidth="1" min="5" max="5"/>
    <col width="14" customWidth="1" min="6" max="6"/>
    <col width="20" customWidth="1" min="7" max="7"/>
  </cols>
  <sheetData>
    <row r="1" ht="28" customHeight="1">
      <c r="A1" s="1" t="inlineStr">
        <is>
          <t>FUNCTIONAL REQUIREMENTS MATRIX (FR)</t>
        </is>
      </c>
    </row>
    <row r="2" ht="18" customHeight="1">
      <c r="A2" s="2" t="inlineStr">
        <is>
          <t>Detailed functional breakdown across platform modules.</t>
        </is>
      </c>
    </row>
    <row r="3"/>
    <row r="4" ht="24" customHeight="1">
      <c r="A4" s="9" t="inlineStr">
        <is>
          <t>Requirement ID</t>
        </is>
      </c>
      <c r="B4" s="9" t="inlineStr">
        <is>
          <t>Functional Module</t>
        </is>
      </c>
      <c r="C4" s="9" t="inlineStr">
        <is>
          <t>Feature Name</t>
        </is>
      </c>
      <c r="D4" s="9" t="inlineStr">
        <is>
          <t>Detailed User Story &amp; Specification</t>
        </is>
      </c>
      <c r="E4" s="9" t="inlineStr">
        <is>
          <t>Priority (MoSCoW)</t>
        </is>
      </c>
      <c r="F4" s="9" t="inlineStr">
        <is>
          <t>Complexity</t>
        </is>
      </c>
      <c r="G4" s="9" t="inlineStr">
        <is>
          <t>Sprint Allocation</t>
        </is>
      </c>
    </row>
    <row r="5" ht="26" customHeight="1">
      <c r="A5" s="11" t="inlineStr">
        <is>
          <t>FR-ING-01</t>
        </is>
      </c>
      <c r="B5" s="11" t="inlineStr">
        <is>
          <t>Telemetry Ingestion</t>
        </is>
      </c>
      <c r="C5" s="10" t="inlineStr">
        <is>
          <t>Continuous OPC-UA / MQTT Pipeline</t>
        </is>
      </c>
      <c r="D5" s="10" t="inlineStr">
        <is>
          <t>System shall ingest 10,000 samples/sec of 3-axis vibration and bearing temperature metrics via edge gateway.</t>
        </is>
      </c>
      <c r="E5" s="11" t="inlineStr">
        <is>
          <t>Must-Have</t>
        </is>
      </c>
      <c r="F5" s="11" t="inlineStr">
        <is>
          <t>High</t>
        </is>
      </c>
      <c r="G5" s="11" t="inlineStr">
        <is>
          <t>Sprint 2</t>
        </is>
      </c>
    </row>
    <row r="6" ht="26" customHeight="1">
      <c r="A6" s="13" t="inlineStr">
        <is>
          <t>FR-ANM-01</t>
        </is>
      </c>
      <c r="B6" s="13" t="inlineStr">
        <is>
          <t>AI Predictive Engine</t>
        </is>
      </c>
      <c r="C6" s="12" t="inlineStr">
        <is>
          <t>Bearing Vibration Spectral Anomaly</t>
        </is>
      </c>
      <c r="D6" s="12" t="inlineStr">
        <is>
          <t>System shall compute FFT spectra and trigger early bearing degradation alerts when RMS harmonics exceed ISO 10816 thresholds.</t>
        </is>
      </c>
      <c r="E6" s="13" t="inlineStr">
        <is>
          <t>Must-Have</t>
        </is>
      </c>
      <c r="F6" s="13" t="inlineStr">
        <is>
          <t>High</t>
        </is>
      </c>
      <c r="G6" s="13" t="inlineStr">
        <is>
          <t>Sprint 4</t>
        </is>
      </c>
    </row>
    <row r="7" ht="26" customHeight="1">
      <c r="A7" s="11" t="inlineStr">
        <is>
          <t>FR-DSH-01</t>
        </is>
      </c>
      <c r="B7" s="11" t="inlineStr">
        <is>
          <t>Asset Dashboard</t>
        </is>
      </c>
      <c r="C7" s="10" t="inlineStr">
        <is>
          <t>Asset Health Index &amp; 3D Twin</t>
        </is>
      </c>
      <c r="D7" s="10" t="inlineStr">
        <is>
          <t>Executive web portal shall display color-coded asset health index (0-100) across all 4 plants with drill-down vibration graphs.</t>
        </is>
      </c>
      <c r="E7" s="11" t="inlineStr">
        <is>
          <t>Must-Have</t>
        </is>
      </c>
      <c r="F7" s="11" t="inlineStr">
        <is>
          <t>Medium</t>
        </is>
      </c>
      <c r="G7" s="11" t="inlineStr">
        <is>
          <t>Sprint 5</t>
        </is>
      </c>
    </row>
    <row r="8" ht="26" customHeight="1">
      <c r="A8" s="13" t="inlineStr">
        <is>
          <t>FR-SAP-01</t>
        </is>
      </c>
      <c r="B8" s="13" t="inlineStr">
        <is>
          <t>Enterprise ERP Sync</t>
        </is>
      </c>
      <c r="C8" s="12" t="inlineStr">
        <is>
          <t>Automated SAP PM Work Orders</t>
        </is>
      </c>
      <c r="D8" s="12" t="inlineStr">
        <is>
          <t>System shall automatically create SAP PM maintenance notifications when critical anomaly persists for &gt; 4 hours.</t>
        </is>
      </c>
      <c r="E8" s="13" t="inlineStr">
        <is>
          <t>Must-Have</t>
        </is>
      </c>
      <c r="F8" s="13" t="inlineStr">
        <is>
          <t>High</t>
        </is>
      </c>
      <c r="G8" s="13" t="inlineStr">
        <is>
          <t>Sprint 7</t>
        </is>
      </c>
    </row>
    <row r="9" ht="26" customHeight="1">
      <c r="A9" s="11" t="inlineStr">
        <is>
          <t>FR-ALT-01</t>
        </is>
      </c>
      <c r="B9" s="11" t="inlineStr">
        <is>
          <t>Alerting &amp; Escalation</t>
        </is>
      </c>
      <c r="C9" s="10" t="inlineStr">
        <is>
          <t>PagerDuty &amp; SMS Dispatch</t>
        </is>
      </c>
      <c r="D9" s="10" t="inlineStr">
        <is>
          <t>System shall dispatch critical alarm notifications to on-duty plant engineers with audio spectrogram snapshots.</t>
        </is>
      </c>
      <c r="E9" s="11" t="inlineStr">
        <is>
          <t>Must-Have</t>
        </is>
      </c>
      <c r="F9" s="11" t="inlineStr">
        <is>
          <t>Medium</t>
        </is>
      </c>
      <c r="G9" s="11" t="inlineStr">
        <is>
          <t>Sprint 6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36" customWidth="1" min="2" max="2"/>
    <col width="14" customWidth="1" min="3" max="3"/>
    <col width="75" customWidth="1" min="4" max="4"/>
    <col width="24" customWidth="1" min="5" max="5"/>
    <col width="32" customWidth="1" min="6" max="6"/>
  </cols>
  <sheetData>
    <row r="1" ht="28" customHeight="1">
      <c r="A1" s="1" t="inlineStr">
        <is>
          <t>TECHNICAL ARCHITECTURE &amp; TECHNOLOGY STACK</t>
        </is>
      </c>
    </row>
    <row r="2" ht="18" customHeight="1">
      <c r="A2" s="2" t="inlineStr">
        <is>
          <t>Tiered architecture, technology choices, and architectural rationale.</t>
        </is>
      </c>
    </row>
    <row r="3"/>
    <row r="4" ht="24" customHeight="1">
      <c r="A4" s="9" t="inlineStr">
        <is>
          <t>Architecture Tier</t>
        </is>
      </c>
      <c r="B4" s="9" t="inlineStr">
        <is>
          <t>Component / Framework</t>
        </is>
      </c>
      <c r="C4" s="9" t="inlineStr">
        <is>
          <t>Version</t>
        </is>
      </c>
      <c r="D4" s="9" t="inlineStr">
        <is>
          <t>Selection Rationale &amp; Technical Justification</t>
        </is>
      </c>
      <c r="E4" s="9" t="inlineStr">
        <is>
          <t>Licensing &amp; Hosting</t>
        </is>
      </c>
      <c r="F4" s="9" t="inlineStr">
        <is>
          <t>High Availability</t>
        </is>
      </c>
    </row>
    <row r="5" ht="28" customHeight="1">
      <c r="A5" s="11" t="inlineStr">
        <is>
          <t>Asset Health Web Portal</t>
        </is>
      </c>
      <c r="B5" s="10" t="inlineStr">
        <is>
          <t>Next.js 15 (React 19, TypeScript)</t>
        </is>
      </c>
      <c r="C5" s="11" t="inlineStr">
        <is>
          <t>15.0+</t>
        </is>
      </c>
      <c r="D5" s="10" t="inlineStr">
        <is>
          <t>Real-time canvas-based spectrogram charts, dark mode industrial UI, Tailwind CSS.</t>
        </is>
      </c>
      <c r="E5" s="11" t="inlineStr">
        <is>
          <t>Open Source / AWS</t>
        </is>
      </c>
      <c r="F5" s="11" t="inlineStr">
        <is>
          <t>CloudFront CDN</t>
        </is>
      </c>
    </row>
    <row r="6" ht="28" customHeight="1">
      <c r="A6" s="13" t="inlineStr">
        <is>
          <t>Time-Series Database</t>
        </is>
      </c>
      <c r="B6" s="12" t="inlineStr">
        <is>
          <t>TimescaleDB / AWS Timestream</t>
        </is>
      </c>
      <c r="C6" s="13" t="inlineStr">
        <is>
          <t>N/A</t>
        </is>
      </c>
      <c r="D6" s="12" t="inlineStr">
        <is>
          <t>Optimized time-series telemetry storage processing 50M records/day with automatic rollups.</t>
        </is>
      </c>
      <c r="E6" s="13" t="inlineStr">
        <is>
          <t>AWS Managed</t>
        </is>
      </c>
      <c r="F6" s="13" t="inlineStr">
        <is>
          <t>Multi-AZ Storage</t>
        </is>
      </c>
    </row>
    <row r="7" ht="28" customHeight="1">
      <c r="A7" s="11" t="inlineStr">
        <is>
          <t>IIoT Edge Gateway</t>
        </is>
      </c>
      <c r="B7" s="10" t="inlineStr">
        <is>
          <t>AWS IoT Greengrass &amp; Docker</t>
        </is>
      </c>
      <c r="C7" s="11" t="inlineStr">
        <is>
          <t>2.13+</t>
        </is>
      </c>
      <c r="D7" s="10" t="inlineStr">
        <is>
          <t>On-premise edge computing running local OPC-UA poller and offline data buffering.</t>
        </is>
      </c>
      <c r="E7" s="11" t="inlineStr">
        <is>
          <t>AWS Greengrass</t>
        </is>
      </c>
      <c r="F7" s="11" t="inlineStr">
        <is>
          <t>Dual Redundant Industrial PCs</t>
        </is>
      </c>
    </row>
    <row r="8" ht="28" customHeight="1">
      <c r="A8" s="13" t="inlineStr">
        <is>
          <t>Core Asset API</t>
        </is>
      </c>
      <c r="B8" s="12" t="inlineStr">
        <is>
          <t>Node.js (NestJS) &amp; Go</t>
        </is>
      </c>
      <c r="C8" s="13" t="inlineStr">
        <is>
          <t>20.x / 1.23</t>
        </is>
      </c>
      <c r="D8" s="12" t="inlineStr">
        <is>
          <t>Modular enterprise API layer managing asset hierarchies, alerts, and user permissions.</t>
        </is>
      </c>
      <c r="E8" s="13" t="inlineStr">
        <is>
          <t>Open Source / AWS EKS</t>
        </is>
      </c>
      <c r="F8" s="13" t="inlineStr">
        <is>
          <t>Auto-scaling Pods (3-15)</t>
        </is>
      </c>
    </row>
    <row r="9" ht="28" customHeight="1">
      <c r="A9" s="11" t="inlineStr">
        <is>
          <t>Cloud &amp; Security</t>
        </is>
      </c>
      <c r="B9" s="10" t="inlineStr">
        <is>
          <t>AWS Sydney (ap-southeast-2)</t>
        </is>
      </c>
      <c r="C9" s="11" t="inlineStr">
        <is>
          <t>N/A</t>
        </is>
      </c>
      <c r="D9" s="10" t="inlineStr">
        <is>
          <t>IEC 62443 compliant architecture, VPC private subnets, Hardware Security Module keys.</t>
        </is>
      </c>
      <c r="E9" s="11" t="inlineStr">
        <is>
          <t>AWS Enterprise</t>
        </is>
      </c>
      <c r="F9" s="11" t="inlineStr">
        <is>
          <t>Multi-AZ (3 Zones)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27" customWidth="1" min="2" max="2"/>
    <col width="75" customWidth="1" min="3" max="3"/>
    <col width="62" customWidth="1" min="4" max="4"/>
    <col width="56" customWidth="1" min="5" max="5"/>
    <col width="21" customWidth="1" min="6" max="6"/>
  </cols>
  <sheetData>
    <row r="1" ht="28" customHeight="1">
      <c r="A1" s="1" t="inlineStr">
        <is>
          <t>NON-FUNCTIONAL REQUIREMENTS (NFR) &amp; ARCHITECTURAL BASELINE</t>
        </is>
      </c>
    </row>
    <row r="2" ht="18" customHeight="1">
      <c r="A2" s="2" t="inlineStr">
        <is>
          <t>Performance SLAs, system availability, data security, and disaster recovery.</t>
        </is>
      </c>
    </row>
    <row r="3"/>
    <row r="4" ht="24" customHeight="1">
      <c r="A4" s="9" t="inlineStr">
        <is>
          <t>NFR ID</t>
        </is>
      </c>
      <c r="B4" s="9" t="inlineStr">
        <is>
          <t>Quality Attribute</t>
        </is>
      </c>
      <c r="C4" s="9" t="inlineStr">
        <is>
          <t>Target Metric / Specification</t>
        </is>
      </c>
      <c r="D4" s="9" t="inlineStr">
        <is>
          <t>Measurement Methodology</t>
        </is>
      </c>
      <c r="E4" s="9" t="inlineStr">
        <is>
          <t>Architecture Enforcement Mechanism</t>
        </is>
      </c>
      <c r="F4" s="9" t="inlineStr">
        <is>
          <t>Verification Phase</t>
        </is>
      </c>
    </row>
    <row r="5" ht="28" customHeight="1">
      <c r="A5" s="11" t="inlineStr">
        <is>
          <t>NFR-PERF-01</t>
        </is>
      </c>
      <c r="B5" s="11" t="inlineStr">
        <is>
          <t>Alert Dispatch Latency</t>
        </is>
      </c>
      <c r="C5" s="10" t="inlineStr">
        <is>
          <t>Critical mechanical anomaly detection to PagerDuty alert notification triggered in &lt; 5 seconds.</t>
        </is>
      </c>
      <c r="D5" s="10" t="inlineStr">
        <is>
          <t>Automated stress benchmark simulating sudden bearing spike.</t>
        </is>
      </c>
      <c r="E5" s="10" t="inlineStr">
        <is>
          <t>Real-time Kafka stream processing.</t>
        </is>
      </c>
      <c r="F5" s="11" t="inlineStr">
        <is>
          <t>Sprint 9</t>
        </is>
      </c>
    </row>
    <row r="6" ht="28" customHeight="1">
      <c r="A6" s="13" t="inlineStr">
        <is>
          <t>NFR-AVAIL-01</t>
        </is>
      </c>
      <c r="B6" s="13" t="inlineStr">
        <is>
          <t>System Availability</t>
        </is>
      </c>
      <c r="C6" s="12" t="inlineStr">
        <is>
          <t>99.95% cloud telemetry uptime across 24/7 continuous casting operations.</t>
        </is>
      </c>
      <c r="D6" s="12" t="inlineStr">
        <is>
          <t>Synthetic health probes with automated pod self-healing.</t>
        </is>
      </c>
      <c r="E6" s="12" t="inlineStr">
        <is>
          <t>Multi-AZ deployment across 3 availability zones.</t>
        </is>
      </c>
      <c r="F6" s="13" t="inlineStr">
        <is>
          <t>Production Go-Live</t>
        </is>
      </c>
    </row>
    <row r="7" ht="28" customHeight="1">
      <c r="A7" s="11" t="inlineStr">
        <is>
          <t>NFR-SEC-01</t>
        </is>
      </c>
      <c r="B7" s="11" t="inlineStr">
        <is>
          <t>Industrial Cybersecurity</t>
        </is>
      </c>
      <c r="C7" s="10" t="inlineStr">
        <is>
          <t>Full adherence to IEC 62443-3-3 OT/IT security standard with zero inbound ports into plant network.</t>
        </is>
      </c>
      <c r="D7" s="10" t="inlineStr">
        <is>
          <t>External industrial cybersecurity penetration audit.</t>
        </is>
      </c>
      <c r="E7" s="10" t="inlineStr">
        <is>
          <t>mTLS authentication and unidirectional gateway proxy.</t>
        </is>
      </c>
      <c r="F7" s="11" t="inlineStr">
        <is>
          <t>Sprint 10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20" customWidth="1" min="3" max="3"/>
    <col width="19" customWidth="1" min="4" max="4"/>
    <col width="20" customWidth="1" min="5" max="5"/>
    <col width="55" customWidth="1" min="6" max="6"/>
  </cols>
  <sheetData>
    <row r="1" ht="28" customHeight="1">
      <c r="A1" s="1" t="inlineStr">
        <is>
          <t>STANDARD PROFESSIONAL SERVICES RATE CARD</t>
        </is>
      </c>
    </row>
    <row r="2" ht="18" customHeight="1">
      <c r="A2" s="2" t="inlineStr">
        <is>
          <t>Standard hourly and daily rates by seniority and role (USD ex Tax).</t>
        </is>
      </c>
    </row>
    <row r="3"/>
    <row r="4" ht="24" customHeight="1">
      <c r="A4" s="9" t="inlineStr">
        <is>
          <t>Role Title</t>
        </is>
      </c>
      <c r="B4" s="9" t="inlineStr">
        <is>
          <t>Seniority Level</t>
        </is>
      </c>
      <c r="C4" s="9" t="inlineStr">
        <is>
          <t>Hourly Rate (USD)</t>
        </is>
      </c>
      <c r="D4" s="9" t="inlineStr">
        <is>
          <t>Daily Rate (USD)</t>
        </is>
      </c>
      <c r="E4" s="9" t="inlineStr">
        <is>
          <t>Weekly Rate (USD)</t>
        </is>
      </c>
      <c r="F4" s="9" t="inlineStr">
        <is>
          <t>Typical Experience Profile</t>
        </is>
      </c>
    </row>
    <row r="5" ht="24" customHeight="1">
      <c r="A5" s="10" t="inlineStr">
        <is>
          <t>Solution Architect</t>
        </is>
      </c>
      <c r="B5" s="15" t="inlineStr">
        <is>
          <t>Principal</t>
        </is>
      </c>
      <c r="C5" s="17" t="n">
        <v>87.5</v>
      </c>
      <c r="D5" s="17" t="n">
        <v>700</v>
      </c>
      <c r="E5" s="17" t="n">
        <v>3500</v>
      </c>
      <c r="F5" s="10" t="inlineStr">
        <is>
          <t>12+ yrs enterprise architecture, cloud certified</t>
        </is>
      </c>
    </row>
    <row r="6" ht="24" customHeight="1">
      <c r="A6" s="12" t="inlineStr">
        <is>
          <t>Project Manager / Scrum Master</t>
        </is>
      </c>
      <c r="B6" s="16" t="inlineStr">
        <is>
          <t>Senior</t>
        </is>
      </c>
      <c r="C6" s="18" t="n">
        <v>68.75</v>
      </c>
      <c r="D6" s="18" t="n">
        <v>550</v>
      </c>
      <c r="E6" s="18" t="n">
        <v>2750</v>
      </c>
      <c r="F6" s="12" t="inlineStr">
        <is>
          <t>8+ yrs Agile management, PMP / PMI-ACP</t>
        </is>
      </c>
    </row>
    <row r="7" ht="24" customHeight="1">
      <c r="A7" s="10" t="inlineStr">
        <is>
          <t>Technical Lead</t>
        </is>
      </c>
      <c r="B7" s="15" t="inlineStr">
        <is>
          <t>Lead</t>
        </is>
      </c>
      <c r="C7" s="17" t="n">
        <v>75</v>
      </c>
      <c r="D7" s="17" t="n">
        <v>600</v>
      </c>
      <c r="E7" s="17" t="n">
        <v>3000</v>
      </c>
      <c r="F7" s="10" t="inlineStr">
        <is>
          <t>10+ yrs distributed systems, code quality governance</t>
        </is>
      </c>
    </row>
    <row r="8" ht="24" customHeight="1">
      <c r="A8" s="12" t="inlineStr">
        <is>
          <t>Senior Backend Engineer</t>
        </is>
      </c>
      <c r="B8" s="16" t="inlineStr">
        <is>
          <t>Senior</t>
        </is>
      </c>
      <c r="C8" s="18" t="n">
        <v>60</v>
      </c>
      <c r="D8" s="18" t="n">
        <v>480</v>
      </c>
      <c r="E8" s="18" t="n">
        <v>2400</v>
      </c>
      <c r="F8" s="12" t="inlineStr">
        <is>
          <t>6+ yrs microservices, database performance, APIs</t>
        </is>
      </c>
    </row>
    <row r="9" ht="24" customHeight="1">
      <c r="A9" s="10" t="inlineStr">
        <is>
          <t>Senior Frontend Engineer</t>
        </is>
      </c>
      <c r="B9" s="15" t="inlineStr">
        <is>
          <t>Senior</t>
        </is>
      </c>
      <c r="C9" s="17" t="n">
        <v>57.5</v>
      </c>
      <c r="D9" s="17" t="n">
        <v>460</v>
      </c>
      <c r="E9" s="17" t="n">
        <v>2300</v>
      </c>
      <c r="F9" s="10" t="inlineStr">
        <is>
          <t>6+ yrs modern React, SSR, UI/UX implementation</t>
        </is>
      </c>
    </row>
    <row r="10" ht="24" customHeight="1">
      <c r="A10" s="12" t="inlineStr">
        <is>
          <t>Senior Mobile Engineer</t>
        </is>
      </c>
      <c r="B10" s="16" t="inlineStr">
        <is>
          <t>Senior</t>
        </is>
      </c>
      <c r="C10" s="18" t="n">
        <v>60</v>
      </c>
      <c r="D10" s="18" t="n">
        <v>480</v>
      </c>
      <c r="E10" s="18" t="n">
        <v>2400</v>
      </c>
      <c r="F10" s="12" t="inlineStr">
        <is>
          <t>6+ yrs native &amp; Flutter, offline sync, hardware APIs</t>
        </is>
      </c>
    </row>
    <row r="11" ht="24" customHeight="1">
      <c r="A11" s="10" t="inlineStr">
        <is>
          <t>QA / Automation Test Lead</t>
        </is>
      </c>
      <c r="B11" s="15" t="inlineStr">
        <is>
          <t>Senior</t>
        </is>
      </c>
      <c r="C11" s="17" t="n">
        <v>50</v>
      </c>
      <c r="D11" s="17" t="n">
        <v>400</v>
      </c>
      <c r="E11" s="17" t="n">
        <v>2000</v>
      </c>
      <c r="F11" s="10" t="inlineStr">
        <is>
          <t>7+ yrs test automation, Cypress, load testing</t>
        </is>
      </c>
    </row>
    <row r="12" ht="24" customHeight="1">
      <c r="A12" s="12" t="inlineStr">
        <is>
          <t>UI/UX Product Designer</t>
        </is>
      </c>
      <c r="B12" s="16" t="inlineStr">
        <is>
          <t>Senior</t>
        </is>
      </c>
      <c r="C12" s="18" t="n">
        <v>52.5</v>
      </c>
      <c r="D12" s="18" t="n">
        <v>420</v>
      </c>
      <c r="E12" s="18" t="n">
        <v>2100</v>
      </c>
      <c r="F12" s="12" t="inlineStr">
        <is>
          <t>7+ yrs enterprise design systems, usability testing</t>
        </is>
      </c>
    </row>
    <row r="13" ht="24" customHeight="1">
      <c r="A13" s="10" t="inlineStr">
        <is>
          <t>DevOps / Cloud Engineer</t>
        </is>
      </c>
      <c r="B13" s="15" t="inlineStr">
        <is>
          <t>Senior</t>
        </is>
      </c>
      <c r="C13" s="17" t="n">
        <v>65</v>
      </c>
      <c r="D13" s="17" t="n">
        <v>520</v>
      </c>
      <c r="E13" s="17" t="n">
        <v>2600</v>
      </c>
      <c r="F13" s="10" t="inlineStr">
        <is>
          <t>6+ yrs AWS/GCP, Kubernetes, Terraform IaC</t>
        </is>
      </c>
    </row>
    <row r="14" ht="24" customHeight="1">
      <c r="A14" s="12" t="inlineStr">
        <is>
          <t>Business Analyst</t>
        </is>
      </c>
      <c r="B14" s="16" t="inlineStr">
        <is>
          <t>Senior</t>
        </is>
      </c>
      <c r="C14" s="18" t="n">
        <v>55</v>
      </c>
      <c r="D14" s="18" t="n">
        <v>440</v>
      </c>
      <c r="E14" s="18" t="n">
        <v>2200</v>
      </c>
      <c r="F14" s="12" t="inlineStr">
        <is>
          <t>6+ yrs domain workflows, specification sign-off</t>
        </is>
      </c>
    </row>
    <row r="15" ht="24" customHeight="1">
      <c r="A15" s="10" t="inlineStr">
        <is>
          <t>Security &amp; Compliance Specialist</t>
        </is>
      </c>
      <c r="B15" s="15" t="inlineStr">
        <is>
          <t>Lead</t>
        </is>
      </c>
      <c r="C15" s="17" t="n">
        <v>85</v>
      </c>
      <c r="D15" s="17" t="n">
        <v>680</v>
      </c>
      <c r="E15" s="17" t="n">
        <v>3400</v>
      </c>
      <c r="F15" s="10" t="inlineStr">
        <is>
          <t>10+ yrs cybersecurity, SOC2/PCI/HIPAA audit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57" customWidth="1" min="2" max="2"/>
    <col width="16" customWidth="1" min="3" max="3"/>
    <col width="20" customWidth="1" min="4" max="4"/>
    <col width="75" customWidth="1" min="5" max="5"/>
    <col width="68" customWidth="1" min="6" max="6"/>
    <col width="25" customWidth="1" min="7" max="7"/>
  </cols>
  <sheetData>
    <row r="1" ht="28" customHeight="1">
      <c r="A1" s="1" t="inlineStr">
        <is>
          <t>MACRO IMPLEMENTATION PLAN &amp; DETAILED COMMERCIAL QUOTATION</t>
        </is>
      </c>
    </row>
    <row r="2" ht="18" customHeight="1">
      <c r="A2" s="2" t="inlineStr">
        <is>
          <t>Phased timeline, Work Breakdown Structure (WBS), Quotation, and Milestone Gates.</t>
        </is>
      </c>
    </row>
    <row r="3"/>
    <row r="4" ht="24" customHeight="1">
      <c r="A4" s="3" t="inlineStr">
        <is>
          <t>1. PHASED MACRO ROADMAP &amp; DELIVERABLE MILESTONES (24 WEEKS)</t>
        </is>
      </c>
    </row>
    <row r="5" ht="24" customHeight="1">
      <c r="A5" s="9" t="inlineStr">
        <is>
          <t>Phase #</t>
        </is>
      </c>
      <c r="B5" s="9" t="inlineStr">
        <is>
          <t>Phase Name &amp; Objective</t>
        </is>
      </c>
      <c r="C5" s="9" t="inlineStr">
        <is>
          <t>Start (Wk)</t>
        </is>
      </c>
      <c r="D5" s="9" t="inlineStr">
        <is>
          <t>Duration</t>
        </is>
      </c>
      <c r="E5" s="9" t="inlineStr">
        <is>
          <t>Key Activities &amp; Milestones</t>
        </is>
      </c>
      <c r="F5" s="9" t="inlineStr">
        <is>
          <t>Primary Deliverables</t>
        </is>
      </c>
      <c r="G5" s="9" t="inlineStr">
        <is>
          <t>Gate Sign-off</t>
        </is>
      </c>
    </row>
    <row r="6" ht="30" customHeight="1">
      <c r="A6" s="13" t="inlineStr">
        <is>
          <t>Phase 1</t>
        </is>
      </c>
      <c r="B6" s="12" t="inlineStr">
        <is>
          <t>Inception, Architecture &amp; Plant Survey</t>
        </is>
      </c>
      <c r="C6" s="13" t="inlineStr">
        <is>
          <t>Week 1</t>
        </is>
      </c>
      <c r="D6" s="13" t="inlineStr">
        <is>
          <t>3 Weeks</t>
        </is>
      </c>
      <c r="E6" s="12" t="inlineStr">
        <is>
          <t>Site visits to 4 plants, OPC-UA tag survey, edge gateway hardware specification, Figma UI design.</t>
        </is>
      </c>
      <c r="F6" s="12" t="inlineStr">
        <is>
          <t>Site Audit Report, Architecture Blueprint, Figma Prototype</t>
        </is>
      </c>
      <c r="G6" s="13" t="inlineStr">
        <is>
          <t>Milestone 1 Sign-off</t>
        </is>
      </c>
    </row>
    <row r="7" ht="30" customHeight="1">
      <c r="A7" s="11" t="inlineStr">
        <is>
          <t>Phase 2</t>
        </is>
      </c>
      <c r="B7" s="10" t="inlineStr">
        <is>
          <t>Edge Gateway Deployment &amp; Ingestion Pipeline</t>
        </is>
      </c>
      <c r="C7" s="11" t="inlineStr">
        <is>
          <t>Week 4</t>
        </is>
      </c>
      <c r="D7" s="11" t="inlineStr">
        <is>
          <t>7 Weeks</t>
        </is>
      </c>
      <c r="E7" s="10" t="inlineStr">
        <is>
          <t>Deploy AWS Greengrass edge PCs at Newcastle plant, develop OPC-UA poller, TimescaleDB setup.</t>
        </is>
      </c>
      <c r="F7" s="10" t="inlineStr">
        <is>
          <t>Live Telemetry Pipeline in Staging, Edge Gateway Build</t>
        </is>
      </c>
      <c r="G7" s="11" t="inlineStr">
        <is>
          <t>Milestone 2 Sign-off</t>
        </is>
      </c>
    </row>
    <row r="8" ht="30" customHeight="1">
      <c r="A8" s="13" t="inlineStr">
        <is>
          <t>Phase 3</t>
        </is>
      </c>
      <c r="B8" s="12" t="inlineStr">
        <is>
          <t>AI Predictive Engine, Web Portal &amp; SAP PM Sync</t>
        </is>
      </c>
      <c r="C8" s="13" t="inlineStr">
        <is>
          <t>Week 11</t>
        </is>
      </c>
      <c r="D8" s="13" t="inlineStr">
        <is>
          <t>7 Weeks</t>
        </is>
      </c>
      <c r="E8" s="12" t="inlineStr">
        <is>
          <t>Develop FFT spectral anomaly model, web health dashboard, automated SAP PM work order integration.</t>
        </is>
      </c>
      <c r="F8" s="12" t="inlineStr">
        <is>
          <t>Asset Health Portal Demo, SAP PM Connector Test</t>
        </is>
      </c>
      <c r="G8" s="13" t="inlineStr">
        <is>
          <t>Milestone 3 Sign-off</t>
        </is>
      </c>
    </row>
    <row r="9" ht="30" customHeight="1">
      <c r="A9" s="11" t="inlineStr">
        <is>
          <t>Phase 4</t>
        </is>
      </c>
      <c r="B9" s="10" t="inlineStr">
        <is>
          <t>Pilot Machine Validation (Newcastle Plant) &amp; Load Test</t>
        </is>
      </c>
      <c r="C9" s="11" t="inlineStr">
        <is>
          <t>Week 18</t>
        </is>
      </c>
      <c r="D9" s="11" t="inlineStr">
        <is>
          <t>3 Weeks</t>
        </is>
      </c>
      <c r="E9" s="10" t="inlineStr">
        <is>
          <t>Live validation on 50 critical rolling mill assets, vibration calibration, k6 load test.</t>
        </is>
      </c>
      <c r="F9" s="10" t="inlineStr">
        <is>
          <t>Pilot Acceptance Certificate, Vibration Accuracy Report</t>
        </is>
      </c>
      <c r="G9" s="11" t="inlineStr">
        <is>
          <t>Milestone 4 Sign-off</t>
        </is>
      </c>
    </row>
    <row r="10" ht="30" customHeight="1">
      <c r="A10" s="13" t="inlineStr">
        <is>
          <t>Phase 5</t>
        </is>
      </c>
      <c r="B10" s="12" t="inlineStr">
        <is>
          <t>Full Rollout (All 4 Plants) &amp; 90-Day Hypercare</t>
        </is>
      </c>
      <c r="C10" s="13" t="inlineStr">
        <is>
          <t>Week 21</t>
        </is>
      </c>
      <c r="D10" s="13" t="inlineStr">
        <is>
          <t>3 Weeks</t>
        </is>
      </c>
      <c r="E10" s="12" t="inlineStr">
        <is>
          <t>Deploy remaining 400 assets across 3 plants, plant maintenance staff training, hypercare.</t>
        </is>
      </c>
      <c r="F10" s="12" t="inlineStr">
        <is>
          <t>Full Plant Acceptance Sign-off, Final Handover</t>
        </is>
      </c>
      <c r="G10" s="13" t="inlineStr">
        <is>
          <t>Final Milestone 5 Gate</t>
        </is>
      </c>
    </row>
    <row r="11"/>
    <row r="12" ht="24" customHeight="1">
      <c r="A12" s="3" t="inlineStr">
        <is>
          <t>2. WORK BREAKDOWN STRUCTURE (WBS) &amp; EFFORT ESTIMATION</t>
        </is>
      </c>
    </row>
    <row r="13" ht="24" customHeight="1">
      <c r="A13" s="9" t="inlineStr">
        <is>
          <t>WBS ID</t>
        </is>
      </c>
      <c r="B13" s="9" t="inlineStr">
        <is>
          <t>Deliverable Component</t>
        </is>
      </c>
      <c r="C13" s="9" t="inlineStr">
        <is>
          <t>Est. Man-Days</t>
        </is>
      </c>
      <c r="D13" s="9" t="inlineStr">
        <is>
          <t>Blended Day Rate</t>
        </is>
      </c>
      <c r="E13" s="9" t="inlineStr">
        <is>
          <t>Subtotal (USD)</t>
        </is>
      </c>
      <c r="F13" s="9" t="inlineStr">
        <is>
          <t>Resource Composition</t>
        </is>
      </c>
      <c r="G13" s="9" t="inlineStr">
        <is>
          <t>Billing Type</t>
        </is>
      </c>
    </row>
    <row r="14" ht="24" customHeight="1">
      <c r="A14" s="16" t="inlineStr">
        <is>
          <t>WBS-01</t>
        </is>
      </c>
      <c r="B14" s="12" t="inlineStr">
        <is>
          <t>Phase 1: Architecture, Site Survey &amp; UI/UX Design</t>
        </is>
      </c>
      <c r="C14" s="16" t="n">
        <v>40</v>
      </c>
      <c r="D14" s="18" t="n">
        <v>650</v>
      </c>
      <c r="E14" s="18" t="n">
        <v>26000</v>
      </c>
      <c r="F14" s="12" t="inlineStr">
        <is>
          <t>IIoT Architect (12d), PM (8d), Tech Lead (10d), UI/UX (10d)</t>
        </is>
      </c>
      <c r="G14" s="16" t="inlineStr">
        <is>
          <t>Fixed Milestone</t>
        </is>
      </c>
    </row>
    <row r="15" ht="24" customHeight="1">
      <c r="A15" s="15" t="inlineStr">
        <is>
          <t>WBS-02</t>
        </is>
      </c>
      <c r="B15" s="10" t="inlineStr">
        <is>
          <t>Phase 2: Edge Gateway Deployment &amp; Ingestion Engine</t>
        </is>
      </c>
      <c r="C15" s="15" t="n">
        <v>130</v>
      </c>
      <c r="D15" s="17" t="n">
        <v>523.08</v>
      </c>
      <c r="E15" s="17" t="n">
        <v>68000</v>
      </c>
      <c r="F15" s="10" t="inlineStr">
        <is>
          <t>Backend (55d), Tech Lead (25d), IoT Eng (25d), QA (15d), PM (10d)</t>
        </is>
      </c>
      <c r="G15" s="15" t="inlineStr">
        <is>
          <t>Fixed Milestone</t>
        </is>
      </c>
    </row>
    <row r="16" ht="24" customHeight="1">
      <c r="A16" s="16" t="inlineStr">
        <is>
          <t>WBS-03</t>
        </is>
      </c>
      <c r="B16" s="12" t="inlineStr">
        <is>
          <t>Phase 3: AI Predictive Models, Web Portal &amp; SAP Sync</t>
        </is>
      </c>
      <c r="C16" s="16" t="n">
        <v>115</v>
      </c>
      <c r="D16" s="18" t="n">
        <v>521.74</v>
      </c>
      <c r="E16" s="18" t="n">
        <v>60000</v>
      </c>
      <c r="F16" s="12" t="inlineStr">
        <is>
          <t>ML Eng (35d), Frontend (30d), Backend (25d), QA (15d), PM (10d)</t>
        </is>
      </c>
      <c r="G16" s="16" t="inlineStr">
        <is>
          <t>Fixed Milestone</t>
        </is>
      </c>
    </row>
    <row r="17" ht="24" customHeight="1">
      <c r="A17" s="15" t="inlineStr">
        <is>
          <t>WBS-04</t>
        </is>
      </c>
      <c r="B17" s="10" t="inlineStr">
        <is>
          <t>Phase 4: Pilot Machine Validation &amp; Calibration</t>
        </is>
      </c>
      <c r="C17" s="15" t="n">
        <v>45</v>
      </c>
      <c r="D17" s="17" t="n">
        <v>488.89</v>
      </c>
      <c r="E17" s="17" t="n">
        <v>22000</v>
      </c>
      <c r="F17" s="10" t="inlineStr">
        <is>
          <t>QA/Commissioning (20d), Tech Lead (10d), ML Eng (10d), PM (5d)</t>
        </is>
      </c>
      <c r="G17" s="15" t="inlineStr">
        <is>
          <t>Fixed Milestone</t>
        </is>
      </c>
    </row>
    <row r="18" ht="24" customHeight="1">
      <c r="A18" s="16" t="inlineStr">
        <is>
          <t>WBS-05</t>
        </is>
      </c>
      <c r="B18" s="12" t="inlineStr">
        <is>
          <t>Phase 5: Full Rollout (4 Plants) &amp; Hypercare</t>
        </is>
      </c>
      <c r="C18" s="16" t="n">
        <v>30</v>
      </c>
      <c r="D18" s="18" t="n">
        <v>506.67</v>
      </c>
      <c r="E18" s="18" t="n">
        <v>15200</v>
      </c>
      <c r="F18" s="12" t="inlineStr">
        <is>
          <t>Tech Lead (10d), PM (10d), Backend (5d), ML Eng (5d)</t>
        </is>
      </c>
      <c r="G18" s="16" t="inlineStr">
        <is>
          <t>Fixed Milestone</t>
        </is>
      </c>
    </row>
    <row r="19" ht="26" customHeight="1">
      <c r="A19" s="19" t="inlineStr">
        <is>
          <t>Subtotal Professional Services (360 Man-Days)</t>
        </is>
      </c>
      <c r="B19" s="20" t="n"/>
      <c r="C19" s="20" t="n"/>
      <c r="D19" s="20" t="n"/>
      <c r="E19" s="21">
        <f>SUM(E14:E18)</f>
        <v/>
      </c>
      <c r="F19" s="20" t="n"/>
      <c r="G19" s="20" t="n"/>
    </row>
    <row r="20" ht="26" customHeight="1">
      <c r="A20" s="22" t="inlineStr">
        <is>
          <t>Project Delivery Contingency Buffer (10%)</t>
        </is>
      </c>
      <c r="B20" s="20" t="n"/>
      <c r="C20" s="20" t="n"/>
      <c r="D20" s="20" t="n"/>
      <c r="E20" s="17">
        <f>E19*0.1</f>
        <v/>
      </c>
      <c r="F20" s="20" t="n"/>
      <c r="G20" s="20" t="n"/>
    </row>
    <row r="21" ht="26" customHeight="1">
      <c r="A21" s="23" t="inlineStr">
        <is>
          <t>TOTAL DELIVERY QUOTATION (USD ex GST/Tax)</t>
        </is>
      </c>
      <c r="B21" s="24" t="n"/>
      <c r="C21" s="24" t="n"/>
      <c r="D21" s="24" t="n"/>
      <c r="E21" s="25">
        <f>E19+E20</f>
        <v/>
      </c>
      <c r="F21" s="24" t="n"/>
      <c r="G21" s="24" t="n"/>
    </row>
    <row r="22"/>
    <row r="23" ht="24" customHeight="1">
      <c r="A23" s="3" t="inlineStr">
        <is>
          <t>3. DELIVERABLE-BASED MILESTONE PAYMENT SCHEDULE</t>
        </is>
      </c>
    </row>
    <row r="24" ht="24" customHeight="1">
      <c r="A24" s="9" t="inlineStr">
        <is>
          <t>Milestone #</t>
        </is>
      </c>
      <c r="B24" s="9" t="inlineStr">
        <is>
          <t>Payment Trigger &amp; Deliverable Gate</t>
        </is>
      </c>
      <c r="C24" s="9" t="inlineStr">
        <is>
          <t>% Allocation</t>
        </is>
      </c>
      <c r="D24" s="9" t="inlineStr">
        <is>
          <t>Amount (USD)</t>
        </is>
      </c>
      <c r="E24" s="9" t="inlineStr">
        <is>
          <t>Project Target Date</t>
        </is>
      </c>
      <c r="F24" s="9" t="inlineStr">
        <is>
          <t>Invoice Terms</t>
        </is>
      </c>
    </row>
    <row r="25" ht="24" customHeight="1">
      <c r="A25" s="15" t="inlineStr">
        <is>
          <t>Milestone 1</t>
        </is>
      </c>
      <c r="B25" s="10" t="inlineStr">
        <is>
          <t>Contract Execution &amp; Architecture Sign-off</t>
        </is>
      </c>
      <c r="C25" s="26" t="n">
        <v>0.2</v>
      </c>
      <c r="D25" s="17" t="n">
        <v>42240</v>
      </c>
      <c r="E25" s="15" t="inlineStr">
        <is>
          <t>Dec 14, 2026 (Kick-off)</t>
        </is>
      </c>
      <c r="F25" s="10" t="inlineStr">
        <is>
          <t>Due within 14 days of invoice</t>
        </is>
      </c>
    </row>
    <row r="26" ht="24" customHeight="1">
      <c r="A26" s="16" t="inlineStr">
        <is>
          <t>Milestone 2</t>
        </is>
      </c>
      <c r="B26" s="12" t="inlineStr">
        <is>
          <t>Edge Gateway Ingestion Pipeline Demo Gate</t>
        </is>
      </c>
      <c r="C26" s="27" t="n">
        <v>0.25</v>
      </c>
      <c r="D26" s="18" t="n">
        <v>52800</v>
      </c>
      <c r="E26" s="16" t="inlineStr">
        <is>
          <t>Feb 01, 2027 (End Sprint 4)</t>
        </is>
      </c>
      <c r="F26" s="12" t="inlineStr">
        <is>
          <t>Due within 14 days of gate approval</t>
        </is>
      </c>
    </row>
    <row r="27" ht="24" customHeight="1">
      <c r="A27" s="15" t="inlineStr">
        <is>
          <t>Milestone 3</t>
        </is>
      </c>
      <c r="B27" s="10" t="inlineStr">
        <is>
          <t>Asset Portal &amp; AI Anomaly Model Demo Gate</t>
        </is>
      </c>
      <c r="C27" s="26" t="n">
        <v>0.3</v>
      </c>
      <c r="D27" s="17" t="n">
        <v>63360</v>
      </c>
      <c r="E27" s="15" t="inlineStr">
        <is>
          <t>Mar 22, 2027 (End Sprint 7)</t>
        </is>
      </c>
      <c r="F27" s="10" t="inlineStr">
        <is>
          <t>Due within 14 days of gate approval</t>
        </is>
      </c>
    </row>
    <row r="28" ht="24" customHeight="1">
      <c r="A28" s="16" t="inlineStr">
        <is>
          <t>Milestone 4</t>
        </is>
      </c>
      <c r="B28" s="12" t="inlineStr">
        <is>
          <t>Newcastle Pilot Sign-off &amp; SAP PM Live Gate</t>
        </is>
      </c>
      <c r="C28" s="27" t="n">
        <v>0.15</v>
      </c>
      <c r="D28" s="18" t="n">
        <v>31680</v>
      </c>
      <c r="E28" s="16" t="inlineStr">
        <is>
          <t>Apr 12, 2027 (End Sprint 9)</t>
        </is>
      </c>
      <c r="F28" s="12" t="inlineStr">
        <is>
          <t>Due within 14 days of gate approval</t>
        </is>
      </c>
    </row>
    <row r="29" ht="24" customHeight="1">
      <c r="A29" s="15" t="inlineStr">
        <is>
          <t>Milestone 5</t>
        </is>
      </c>
      <c r="B29" s="10" t="inlineStr">
        <is>
          <t>Full 4-Plant Network Handover &amp; Hypercare Gate</t>
        </is>
      </c>
      <c r="C29" s="26" t="n">
        <v>0.1</v>
      </c>
      <c r="D29" s="17" t="n">
        <v>21120</v>
      </c>
      <c r="E29" s="15" t="inlineStr">
        <is>
          <t>May 03, 2027 (Final Gate)</t>
        </is>
      </c>
      <c r="F29" s="10" t="inlineStr">
        <is>
          <t>Due within 30 days of sign-off</t>
        </is>
      </c>
    </row>
  </sheetData>
  <mergeCells count="8">
    <mergeCell ref="A1:G1"/>
    <mergeCell ref="A20:D20"/>
    <mergeCell ref="A12:G12"/>
    <mergeCell ref="A4:G4"/>
    <mergeCell ref="A21:D21"/>
    <mergeCell ref="A2:G2"/>
    <mergeCell ref="A19:D19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2026-10-17T09:07:02Z</dcterms:created>
  <dcterms:modified xsi:type="dcterms:W3CDTF">2026-10-17T09:07:02Z</dcterms:modified>
</cp:coreProperties>
</file>